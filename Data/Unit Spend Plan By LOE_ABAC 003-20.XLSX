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9128d30a3d6e0986/Documents/Army/Q Course/"/>
    </mc:Choice>
  </mc:AlternateContent>
  <xr:revisionPtr revIDLastSave="0" documentId="8_{37D27FEF-5956-4763-8657-04210D1260FC}" xr6:coauthVersionLast="45" xr6:coauthVersionMax="45" xr10:uidLastSave="{00000000-0000-0000-0000-000000000000}"/>
  <bookViews>
    <workbookView xWindow="800" yWindow="300" windowWidth="18293" windowHeight="12433" tabRatio="851" activeTab="1" xr2:uid="{00000000-000D-0000-FFFF-FFFF00000000}"/>
  </bookViews>
  <sheets>
    <sheet name="ABCT" sheetId="1" r:id="rId1"/>
    <sheet name="1st Inf Bn" sheetId="2" r:id="rId2"/>
    <sheet name="2nd Inf Bn" sheetId="3" r:id="rId3"/>
    <sheet name="10th AR Bn" sheetId="4" r:id="rId4"/>
    <sheet name="ABCT Support" sheetId="5" r:id="rId5"/>
    <sheet name="FA BDE" sheetId="6" r:id="rId6"/>
    <sheet name="FA Bn" sheetId="7" r:id="rId7"/>
    <sheet name="SUST BDE" sheetId="8" r:id="rId8"/>
    <sheet name="SUST STB" sheetId="9" r:id="rId9"/>
    <sheet name="SUST CSB" sheetId="10" r:id="rId10"/>
    <sheet name="SUST MP Bn" sheetId="11" r:id="rId11"/>
    <sheet name="SUST ENG Bn" sheetId="12" r:id="rId12"/>
    <sheet name="CAB" sheetId="13" r:id="rId13"/>
    <sheet name="CAB GSAB" sheetId="14" r:id="rId14"/>
    <sheet name="CAB Attack Bn" sheetId="15" r:id="rId15"/>
    <sheet name="CAB Lift Bn" sheetId="16" r:id="rId16"/>
    <sheet name="CAB Support Bn" sheetId="17" r:id="rId17"/>
    <sheet name="DIV HQ" sheetId="18" r:id="rId18"/>
    <sheet name="DIV STB" sheetId="19" r:id="rId19"/>
    <sheet name="DIV G1" sheetId="20" r:id="rId20"/>
    <sheet name="DIV G2" sheetId="21" r:id="rId21"/>
    <sheet name="DIV G3" sheetId="22" r:id="rId22"/>
    <sheet name="DIV G4" sheetId="23" r:id="rId23"/>
    <sheet name="DIV G6" sheetId="24" r:id="rId24"/>
    <sheet name="DIV G8" sheetId="25" r:id="rId25"/>
    <sheet name="DIV Special Staff" sheetId="26" r:id="rId26"/>
    <sheet name="Sheet1" sheetId="27" r:id="rId27"/>
    <sheet name="Sheet2" sheetId="28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9" i="2" l="1"/>
  <c r="D24" i="26" l="1"/>
  <c r="C24" i="26"/>
  <c r="B24" i="26"/>
  <c r="E22" i="26"/>
  <c r="E21" i="26"/>
  <c r="E20" i="26"/>
  <c r="E17" i="26"/>
  <c r="E16" i="26"/>
  <c r="E13" i="26"/>
  <c r="E12" i="26"/>
  <c r="E11" i="26"/>
  <c r="E8" i="26"/>
  <c r="E7" i="26"/>
  <c r="E6" i="26"/>
  <c r="D24" i="25"/>
  <c r="C24" i="25"/>
  <c r="B24" i="25"/>
  <c r="E22" i="25"/>
  <c r="E21" i="25"/>
  <c r="E17" i="25"/>
  <c r="E16" i="25"/>
  <c r="E13" i="25"/>
  <c r="E12" i="25"/>
  <c r="E11" i="25"/>
  <c r="E8" i="25"/>
  <c r="E7" i="25"/>
  <c r="E6" i="25"/>
  <c r="D24" i="24"/>
  <c r="C24" i="24"/>
  <c r="B24" i="24"/>
  <c r="E22" i="24"/>
  <c r="E21" i="24"/>
  <c r="E20" i="24"/>
  <c r="E17" i="24"/>
  <c r="E16" i="24"/>
  <c r="E13" i="24"/>
  <c r="E12" i="24"/>
  <c r="E11" i="24"/>
  <c r="E8" i="24"/>
  <c r="E7" i="24"/>
  <c r="E6" i="24"/>
  <c r="D24" i="23"/>
  <c r="C24" i="23"/>
  <c r="B24" i="23"/>
  <c r="E22" i="23"/>
  <c r="E21" i="23"/>
  <c r="E20" i="23"/>
  <c r="E17" i="23"/>
  <c r="E16" i="23"/>
  <c r="E13" i="23"/>
  <c r="E12" i="23"/>
  <c r="E11" i="23"/>
  <c r="E8" i="23"/>
  <c r="E7" i="23"/>
  <c r="E6" i="23"/>
  <c r="D24" i="22"/>
  <c r="C24" i="22"/>
  <c r="B24" i="22"/>
  <c r="E22" i="22"/>
  <c r="E21" i="22"/>
  <c r="E20" i="22"/>
  <c r="E17" i="22"/>
  <c r="E16" i="22"/>
  <c r="E13" i="22"/>
  <c r="E12" i="22"/>
  <c r="E11" i="22"/>
  <c r="E8" i="22"/>
  <c r="E7" i="22"/>
  <c r="E6" i="22"/>
  <c r="D24" i="21"/>
  <c r="C24" i="21"/>
  <c r="B24" i="21"/>
  <c r="E22" i="21"/>
  <c r="E21" i="21"/>
  <c r="E20" i="21"/>
  <c r="E17" i="21"/>
  <c r="E16" i="21"/>
  <c r="E13" i="21"/>
  <c r="E12" i="21"/>
  <c r="E11" i="21"/>
  <c r="E8" i="21"/>
  <c r="E7" i="21"/>
  <c r="E6" i="21"/>
  <c r="D24" i="20"/>
  <c r="C24" i="20"/>
  <c r="B24" i="20"/>
  <c r="E22" i="20"/>
  <c r="E21" i="20"/>
  <c r="E20" i="20"/>
  <c r="E17" i="20"/>
  <c r="E16" i="20"/>
  <c r="E13" i="20"/>
  <c r="E12" i="20"/>
  <c r="E11" i="20"/>
  <c r="E8" i="20"/>
  <c r="E7" i="20"/>
  <c r="E6" i="20"/>
  <c r="D24" i="19"/>
  <c r="C24" i="19"/>
  <c r="B24" i="19"/>
  <c r="E22" i="19"/>
  <c r="E21" i="19"/>
  <c r="E20" i="19"/>
  <c r="E17" i="19"/>
  <c r="E16" i="19"/>
  <c r="E13" i="19"/>
  <c r="E12" i="19"/>
  <c r="E11" i="19"/>
  <c r="E8" i="19"/>
  <c r="E7" i="19"/>
  <c r="E6" i="19"/>
  <c r="D24" i="18"/>
  <c r="C24" i="18"/>
  <c r="B24" i="18"/>
  <c r="E22" i="18"/>
  <c r="E21" i="18"/>
  <c r="E20" i="18"/>
  <c r="E17" i="18"/>
  <c r="E16" i="18"/>
  <c r="E13" i="18"/>
  <c r="E12" i="18"/>
  <c r="E11" i="18"/>
  <c r="E8" i="18"/>
  <c r="E7" i="18"/>
  <c r="E6" i="18"/>
  <c r="D24" i="17"/>
  <c r="C24" i="17"/>
  <c r="B24" i="17"/>
  <c r="E22" i="17"/>
  <c r="E21" i="17"/>
  <c r="E20" i="17"/>
  <c r="E17" i="17"/>
  <c r="E16" i="17"/>
  <c r="E13" i="17"/>
  <c r="E12" i="17"/>
  <c r="E11" i="17"/>
  <c r="E8" i="17"/>
  <c r="E7" i="17"/>
  <c r="E6" i="17"/>
  <c r="D24" i="16"/>
  <c r="C24" i="16"/>
  <c r="B24" i="16"/>
  <c r="E22" i="16"/>
  <c r="E21" i="16"/>
  <c r="E20" i="16"/>
  <c r="E17" i="16"/>
  <c r="E16" i="16"/>
  <c r="E13" i="16"/>
  <c r="E12" i="16"/>
  <c r="E11" i="16"/>
  <c r="E8" i="16"/>
  <c r="E7" i="16"/>
  <c r="E6" i="16"/>
  <c r="D24" i="15"/>
  <c r="C24" i="15"/>
  <c r="B24" i="15"/>
  <c r="E22" i="15"/>
  <c r="E21" i="15"/>
  <c r="E20" i="15"/>
  <c r="E17" i="15"/>
  <c r="E16" i="15"/>
  <c r="E13" i="15"/>
  <c r="E12" i="15"/>
  <c r="E11" i="15"/>
  <c r="E8" i="15"/>
  <c r="E7" i="15"/>
  <c r="E6" i="15"/>
  <c r="D24" i="14"/>
  <c r="C24" i="14"/>
  <c r="B24" i="14"/>
  <c r="E22" i="14"/>
  <c r="E21" i="14"/>
  <c r="E20" i="14"/>
  <c r="E17" i="14"/>
  <c r="E16" i="14"/>
  <c r="E13" i="14"/>
  <c r="E12" i="14"/>
  <c r="E11" i="14"/>
  <c r="D24" i="13"/>
  <c r="C24" i="13"/>
  <c r="B24" i="13"/>
  <c r="E22" i="13"/>
  <c r="E21" i="13"/>
  <c r="E20" i="13"/>
  <c r="E17" i="13"/>
  <c r="E16" i="13"/>
  <c r="E13" i="13"/>
  <c r="E12" i="13"/>
  <c r="E11" i="13"/>
  <c r="E8" i="13"/>
  <c r="E7" i="13"/>
  <c r="E6" i="13"/>
  <c r="E24" i="13" s="1"/>
  <c r="D24" i="12"/>
  <c r="C24" i="12"/>
  <c r="B24" i="12"/>
  <c r="E22" i="12"/>
  <c r="E21" i="12"/>
  <c r="E20" i="12"/>
  <c r="E17" i="12"/>
  <c r="E16" i="12"/>
  <c r="E13" i="12"/>
  <c r="E12" i="12"/>
  <c r="E11" i="12"/>
  <c r="E8" i="12"/>
  <c r="E7" i="12"/>
  <c r="E6" i="12"/>
  <c r="D24" i="11"/>
  <c r="C24" i="11"/>
  <c r="B24" i="11"/>
  <c r="E22" i="11"/>
  <c r="E21" i="11"/>
  <c r="E20" i="11"/>
  <c r="E17" i="11"/>
  <c r="E16" i="11"/>
  <c r="E13" i="11"/>
  <c r="E12" i="11"/>
  <c r="E11" i="11"/>
  <c r="E8" i="11"/>
  <c r="E7" i="11"/>
  <c r="E6" i="11"/>
  <c r="E24" i="11" s="1"/>
  <c r="D24" i="10"/>
  <c r="C24" i="10"/>
  <c r="B24" i="10"/>
  <c r="E22" i="10"/>
  <c r="E21" i="10"/>
  <c r="E20" i="10"/>
  <c r="E17" i="10"/>
  <c r="E16" i="10"/>
  <c r="E13" i="10"/>
  <c r="E12" i="10"/>
  <c r="E11" i="10"/>
  <c r="E8" i="10"/>
  <c r="E7" i="10"/>
  <c r="E6" i="10"/>
  <c r="D24" i="9"/>
  <c r="C24" i="9"/>
  <c r="B24" i="9"/>
  <c r="E22" i="9"/>
  <c r="E21" i="9"/>
  <c r="E20" i="9"/>
  <c r="E17" i="9"/>
  <c r="E16" i="9"/>
  <c r="E13" i="9"/>
  <c r="E12" i="9"/>
  <c r="E11" i="9"/>
  <c r="E8" i="9"/>
  <c r="E7" i="9"/>
  <c r="E6" i="9"/>
  <c r="E24" i="9" s="1"/>
  <c r="D24" i="8"/>
  <c r="C24" i="8"/>
  <c r="B24" i="8"/>
  <c r="E22" i="8"/>
  <c r="E21" i="8"/>
  <c r="E20" i="8"/>
  <c r="E17" i="8"/>
  <c r="E16" i="8"/>
  <c r="E13" i="8"/>
  <c r="E12" i="8"/>
  <c r="E11" i="8"/>
  <c r="E8" i="8"/>
  <c r="E7" i="8"/>
  <c r="E6" i="8"/>
  <c r="D24" i="7"/>
  <c r="C24" i="7"/>
  <c r="B24" i="7"/>
  <c r="E22" i="7"/>
  <c r="E21" i="7"/>
  <c r="E20" i="7"/>
  <c r="E17" i="7"/>
  <c r="E16" i="7"/>
  <c r="E13" i="7"/>
  <c r="E12" i="7"/>
  <c r="E11" i="7"/>
  <c r="E8" i="7"/>
  <c r="E7" i="7"/>
  <c r="E6" i="7"/>
  <c r="E24" i="7" s="1"/>
  <c r="D24" i="6"/>
  <c r="C24" i="6"/>
  <c r="B24" i="6"/>
  <c r="E22" i="6"/>
  <c r="E21" i="6"/>
  <c r="E20" i="6"/>
  <c r="E17" i="6"/>
  <c r="E16" i="6"/>
  <c r="E13" i="6"/>
  <c r="E12" i="6"/>
  <c r="E11" i="6"/>
  <c r="E8" i="6"/>
  <c r="E7" i="6"/>
  <c r="E6" i="6"/>
  <c r="D24" i="5"/>
  <c r="C24" i="5"/>
  <c r="B24" i="5"/>
  <c r="E22" i="5"/>
  <c r="E21" i="5"/>
  <c r="E20" i="5"/>
  <c r="E17" i="5"/>
  <c r="E16" i="5"/>
  <c r="E13" i="5"/>
  <c r="E12" i="5"/>
  <c r="E11" i="5"/>
  <c r="E8" i="5"/>
  <c r="E7" i="5"/>
  <c r="E6" i="5"/>
  <c r="E24" i="5" s="1"/>
  <c r="D24" i="4"/>
  <c r="C24" i="4"/>
  <c r="B24" i="4"/>
  <c r="E22" i="4"/>
  <c r="E21" i="4"/>
  <c r="E20" i="4"/>
  <c r="E17" i="4"/>
  <c r="E16" i="4"/>
  <c r="E13" i="4"/>
  <c r="E12" i="4"/>
  <c r="E11" i="4"/>
  <c r="E8" i="4"/>
  <c r="E7" i="4"/>
  <c r="E6" i="4"/>
  <c r="D38" i="3"/>
  <c r="C38" i="3"/>
  <c r="B38" i="3"/>
  <c r="E36" i="3"/>
  <c r="E35" i="3"/>
  <c r="E34" i="3"/>
  <c r="E31" i="3"/>
  <c r="E30" i="3"/>
  <c r="E29" i="3"/>
  <c r="D24" i="3"/>
  <c r="C24" i="3"/>
  <c r="B24" i="3"/>
  <c r="E22" i="3"/>
  <c r="E21" i="3"/>
  <c r="E20" i="3"/>
  <c r="E17" i="3"/>
  <c r="E16" i="3"/>
  <c r="E13" i="3"/>
  <c r="E12" i="3"/>
  <c r="E11" i="3"/>
  <c r="E8" i="3"/>
  <c r="E7" i="3"/>
  <c r="E6" i="3"/>
  <c r="D39" i="2"/>
  <c r="C39" i="2"/>
  <c r="B39" i="2"/>
  <c r="E37" i="2"/>
  <c r="E36" i="2"/>
  <c r="E35" i="2"/>
  <c r="E32" i="2"/>
  <c r="E31" i="2"/>
  <c r="E30" i="2"/>
  <c r="D24" i="2"/>
  <c r="C24" i="2"/>
  <c r="B24" i="2"/>
  <c r="E22" i="2"/>
  <c r="E21" i="2"/>
  <c r="E20" i="2"/>
  <c r="E17" i="2"/>
  <c r="E16" i="2"/>
  <c r="E13" i="2"/>
  <c r="E12" i="2"/>
  <c r="E11" i="2"/>
  <c r="E8" i="2"/>
  <c r="E7" i="2"/>
  <c r="E6" i="2"/>
  <c r="D24" i="1"/>
  <c r="C24" i="1"/>
  <c r="B24" i="1"/>
  <c r="E22" i="1"/>
  <c r="E21" i="1"/>
  <c r="E20" i="1"/>
  <c r="E17" i="1"/>
  <c r="E16" i="1"/>
  <c r="E13" i="1"/>
  <c r="E12" i="1"/>
  <c r="E11" i="1"/>
  <c r="E8" i="1"/>
  <c r="E7" i="1"/>
  <c r="E6" i="1"/>
  <c r="E24" i="1" l="1"/>
  <c r="E38" i="3"/>
  <c r="E24" i="15"/>
  <c r="E24" i="17"/>
  <c r="E24" i="19"/>
  <c r="E24" i="21"/>
  <c r="E24" i="23"/>
  <c r="E24" i="25"/>
  <c r="E24" i="2"/>
  <c r="E39" i="2"/>
  <c r="E24" i="4"/>
  <c r="E24" i="6"/>
  <c r="E24" i="8"/>
  <c r="E24" i="10"/>
  <c r="E24" i="12"/>
  <c r="E24" i="14"/>
  <c r="E24" i="26"/>
  <c r="E24" i="3"/>
  <c r="E24" i="16"/>
  <c r="E24" i="18"/>
  <c r="E24" i="20"/>
  <c r="E24" i="22"/>
  <c r="E24" i="24"/>
</calcChain>
</file>

<file path=xl/sharedStrings.xml><?xml version="1.0" encoding="utf-8"?>
<sst xmlns="http://schemas.openxmlformats.org/spreadsheetml/2006/main" count="678" uniqueCount="77">
  <si>
    <t>UNIT</t>
  </si>
  <si>
    <t>WBS</t>
  </si>
  <si>
    <t>ABCT</t>
  </si>
  <si>
    <t>S.0000026.1</t>
  </si>
  <si>
    <t>Line Of Effort</t>
  </si>
  <si>
    <t>1st QTR</t>
  </si>
  <si>
    <t>2nd QTR</t>
  </si>
  <si>
    <t>3rd QTR</t>
  </si>
  <si>
    <t>4th QTR</t>
  </si>
  <si>
    <t xml:space="preserve">1. SET THE THEATER                                                                             </t>
  </si>
  <si>
    <t>1.1 Forces</t>
  </si>
  <si>
    <t>1.2 Footprint</t>
  </si>
  <si>
    <t>1.3 Materiel</t>
  </si>
  <si>
    <t>2. SHAPE</t>
  </si>
  <si>
    <t>2.1 Mil-Mil Relationships</t>
  </si>
  <si>
    <t>2.2 Stability and Support Operations</t>
  </si>
  <si>
    <t>2.3 Warfighting</t>
  </si>
  <si>
    <t>3. Unified Land Operations</t>
  </si>
  <si>
    <t>3.1 Joint Land Operations</t>
  </si>
  <si>
    <t>3.2 Regional Land Power Network</t>
  </si>
  <si>
    <t>4. Enhance the Force</t>
  </si>
  <si>
    <t>4.1 Capabilities, Enhancement, and Modernize</t>
  </si>
  <si>
    <t>4.2 Training and Education</t>
  </si>
  <si>
    <t>4.3 Health, Welfare, and Safety</t>
  </si>
  <si>
    <t>TOTAL</t>
  </si>
  <si>
    <t>1st Inf Bn</t>
  </si>
  <si>
    <t>S.0000026.1.1</t>
  </si>
  <si>
    <t>CERP-S.0000026.1.1.1</t>
  </si>
  <si>
    <t>2nd Inf Bn</t>
  </si>
  <si>
    <t>S.0000026.1.2</t>
  </si>
  <si>
    <t>CERP-S.0000026.1.2.1</t>
  </si>
  <si>
    <t>10th Ar Bn</t>
  </si>
  <si>
    <t>S.0000026.1.3</t>
  </si>
  <si>
    <t>ABCT Support Bn</t>
  </si>
  <si>
    <t>S.0000026.1.4</t>
  </si>
  <si>
    <t>FA BDE</t>
  </si>
  <si>
    <t>S.0000026.2</t>
  </si>
  <si>
    <t>FA Bn</t>
  </si>
  <si>
    <t>S.0000026.2.1</t>
  </si>
  <si>
    <t>SUST BDE</t>
  </si>
  <si>
    <t>S.0000026.3</t>
  </si>
  <si>
    <t>SUST STB</t>
  </si>
  <si>
    <t>S.0000026.3.1</t>
  </si>
  <si>
    <t>CSB</t>
  </si>
  <si>
    <t>S.0000026.3.2</t>
  </si>
  <si>
    <t>MP Bn</t>
  </si>
  <si>
    <t>S.0000026.3.3</t>
  </si>
  <si>
    <t>ENG Bn</t>
  </si>
  <si>
    <t>S.0000026.3.4</t>
  </si>
  <si>
    <t>CAB</t>
  </si>
  <si>
    <t>S.0000026.4</t>
  </si>
  <si>
    <t>GSAB</t>
  </si>
  <si>
    <t>S.0000026.4.1</t>
  </si>
  <si>
    <t>Attack Bn</t>
  </si>
  <si>
    <t>S.0000026.4.2</t>
  </si>
  <si>
    <t>Lift Bn</t>
  </si>
  <si>
    <t>S.0000026.4.3</t>
  </si>
  <si>
    <t>Support Bn</t>
  </si>
  <si>
    <t>S.0000026.4.4</t>
  </si>
  <si>
    <t>HQ</t>
  </si>
  <si>
    <t>S.0000026.5</t>
  </si>
  <si>
    <t>STB</t>
  </si>
  <si>
    <t>S.0000026.5.1</t>
  </si>
  <si>
    <t>G1</t>
  </si>
  <si>
    <t>S.0000026.5.2</t>
  </si>
  <si>
    <t>G2</t>
  </si>
  <si>
    <t>S.0000026.5.3</t>
  </si>
  <si>
    <t>G3</t>
  </si>
  <si>
    <t>S.0000026.5.4</t>
  </si>
  <si>
    <t>G4</t>
  </si>
  <si>
    <t>S.0000026.5.5</t>
  </si>
  <si>
    <t>G6</t>
  </si>
  <si>
    <t>S.0000026.5.6</t>
  </si>
  <si>
    <t>G8</t>
  </si>
  <si>
    <t>S.0000026.5.7</t>
  </si>
  <si>
    <t>Special Staff</t>
  </si>
  <si>
    <t>S.0000026.5.8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</si>
</sst>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0" fillId="0" borderId="0" xfId="0" applyNumberFormat="1"/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/>
    <xf numFmtId="164" fontId="0" fillId="0" borderId="1" xfId="0" applyNumberFormat="1" applyBorder="1"/>
    <xf numFmtId="0" fontId="2" fillId="0" borderId="1" xfId="0" applyFont="1" applyFill="1" applyBorder="1" applyAlignment="1">
      <alignment vertical="center"/>
    </xf>
    <xf numFmtId="164" fontId="0" fillId="0" borderId="6" xfId="0" applyNumberFormat="1" applyFill="1" applyBorder="1"/>
    <xf numFmtId="164" fontId="0" fillId="0" borderId="5" xfId="0" applyNumberFormat="1" applyBorder="1"/>
    <xf numFmtId="0" fontId="0" fillId="0" borderId="4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/>
    <xf numFmtId="164" fontId="0" fillId="0" borderId="1" xfId="0" applyNumberFormat="1" applyFont="1" applyBorder="1"/>
    <xf numFmtId="0" fontId="0" fillId="0" borderId="1" xfId="0" applyFont="1" applyBorder="1"/>
    <xf numFmtId="164" fontId="0" fillId="0" borderId="7" xfId="0" applyNumberFormat="1" applyFill="1" applyBorder="1"/>
    <xf numFmtId="164" fontId="0" fillId="0" borderId="0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D16" sqref="D16"/>
    </sheetView>
  </sheetViews>
  <sheetFormatPr defaultRowHeight="14.35" x14ac:dyDescent="0.5"/>
  <cols>
    <col min="1" max="1" width="39.5859375" customWidth="1"/>
    <col min="2" max="5" width="20.703125" customWidth="1"/>
    <col min="6" max="6" width="18.41015625" customWidth="1"/>
  </cols>
  <sheetData>
    <row r="1" spans="1:5" x14ac:dyDescent="0.5">
      <c r="A1" s="5" t="s">
        <v>0</v>
      </c>
      <c r="B1" s="5" t="s">
        <v>1</v>
      </c>
    </row>
    <row r="2" spans="1:5" x14ac:dyDescent="0.5">
      <c r="A2" s="10" t="s">
        <v>2</v>
      </c>
      <c r="B2" s="11" t="s">
        <v>3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23">
        <v>250000</v>
      </c>
      <c r="C6" s="23">
        <v>412000</v>
      </c>
      <c r="D6" s="23">
        <v>478000</v>
      </c>
      <c r="E6" s="21">
        <f>SUM(B6:D6)/3</f>
        <v>380000</v>
      </c>
    </row>
    <row r="7" spans="1:5" x14ac:dyDescent="0.5">
      <c r="A7" s="15" t="s">
        <v>11</v>
      </c>
      <c r="B7" s="23">
        <v>186000</v>
      </c>
      <c r="C7" s="23">
        <v>305000</v>
      </c>
      <c r="D7" s="23">
        <v>361000</v>
      </c>
      <c r="E7" s="21">
        <f t="shared" ref="E7:E22" si="0">SUM(B7:D7)/3</f>
        <v>284000</v>
      </c>
    </row>
    <row r="8" spans="1:5" x14ac:dyDescent="0.5">
      <c r="A8" s="15" t="s">
        <v>12</v>
      </c>
      <c r="B8" s="23">
        <v>96000</v>
      </c>
      <c r="C8" s="23">
        <v>157000</v>
      </c>
      <c r="D8" s="23">
        <v>185000</v>
      </c>
      <c r="E8" s="21">
        <f t="shared" si="0"/>
        <v>146000</v>
      </c>
    </row>
    <row r="9" spans="1:5" x14ac:dyDescent="0.5">
      <c r="B9" s="24"/>
      <c r="C9" s="24"/>
      <c r="D9" s="24"/>
      <c r="E9" s="21"/>
    </row>
    <row r="10" spans="1:5" x14ac:dyDescent="0.5">
      <c r="A10" s="16" t="s">
        <v>13</v>
      </c>
      <c r="B10" s="24"/>
      <c r="C10" s="24"/>
      <c r="D10" s="24"/>
      <c r="E10" s="21"/>
    </row>
    <row r="11" spans="1:5" x14ac:dyDescent="0.5">
      <c r="A11" s="15" t="s">
        <v>14</v>
      </c>
      <c r="B11" s="23">
        <v>63000</v>
      </c>
      <c r="C11" s="23">
        <v>104000</v>
      </c>
      <c r="D11" s="23">
        <v>121000</v>
      </c>
      <c r="E11" s="21">
        <f t="shared" si="0"/>
        <v>96000</v>
      </c>
    </row>
    <row r="12" spans="1:5" x14ac:dyDescent="0.5">
      <c r="A12" s="15" t="s">
        <v>15</v>
      </c>
      <c r="B12" s="23">
        <v>145000</v>
      </c>
      <c r="C12" s="23">
        <v>240000</v>
      </c>
      <c r="D12" s="23">
        <v>278000</v>
      </c>
      <c r="E12" s="21">
        <f t="shared" si="0"/>
        <v>221000</v>
      </c>
    </row>
    <row r="13" spans="1:5" x14ac:dyDescent="0.5">
      <c r="A13" s="15" t="s">
        <v>16</v>
      </c>
      <c r="B13" s="23">
        <v>107000</v>
      </c>
      <c r="C13" s="23">
        <v>179000</v>
      </c>
      <c r="D13" s="23">
        <v>205000</v>
      </c>
      <c r="E13" s="21">
        <f t="shared" si="0"/>
        <v>163666.66666666666</v>
      </c>
    </row>
    <row r="14" spans="1:5" x14ac:dyDescent="0.5">
      <c r="B14" s="24"/>
      <c r="C14" s="24"/>
      <c r="D14" s="24"/>
      <c r="E14" s="21"/>
    </row>
    <row r="15" spans="1:5" x14ac:dyDescent="0.5">
      <c r="A15" s="16" t="s">
        <v>17</v>
      </c>
      <c r="B15" s="24"/>
      <c r="C15" s="24"/>
      <c r="D15" s="24"/>
      <c r="E15" s="21"/>
    </row>
    <row r="16" spans="1:5" x14ac:dyDescent="0.5">
      <c r="A16" s="15" t="s">
        <v>18</v>
      </c>
      <c r="B16" s="23">
        <v>122000</v>
      </c>
      <c r="C16" s="23">
        <v>198000</v>
      </c>
      <c r="D16" s="23">
        <v>234000</v>
      </c>
      <c r="E16" s="21">
        <f t="shared" si="0"/>
        <v>184666.66666666666</v>
      </c>
    </row>
    <row r="17" spans="1:6" x14ac:dyDescent="0.5">
      <c r="A17" s="15" t="s">
        <v>19</v>
      </c>
      <c r="B17" s="23">
        <v>122000</v>
      </c>
      <c r="C17" s="23">
        <v>198000</v>
      </c>
      <c r="D17" s="23">
        <v>231000</v>
      </c>
      <c r="E17" s="21">
        <f t="shared" si="0"/>
        <v>183666.66666666666</v>
      </c>
    </row>
    <row r="18" spans="1:6" x14ac:dyDescent="0.5">
      <c r="B18" s="24"/>
      <c r="C18" s="24"/>
      <c r="D18" s="24"/>
      <c r="E18" s="21"/>
    </row>
    <row r="19" spans="1:6" x14ac:dyDescent="0.5">
      <c r="A19" s="16" t="s">
        <v>20</v>
      </c>
      <c r="B19" s="24"/>
      <c r="C19" s="24"/>
      <c r="D19" s="24"/>
      <c r="E19" s="21"/>
    </row>
    <row r="20" spans="1:6" x14ac:dyDescent="0.5">
      <c r="A20" s="15" t="s">
        <v>21</v>
      </c>
      <c r="B20" s="23">
        <v>73000</v>
      </c>
      <c r="C20" s="23">
        <v>119000</v>
      </c>
      <c r="D20" s="23">
        <v>139000</v>
      </c>
      <c r="E20" s="21">
        <f t="shared" si="0"/>
        <v>110333.33333333333</v>
      </c>
    </row>
    <row r="21" spans="1:6" x14ac:dyDescent="0.5">
      <c r="A21" s="15" t="s">
        <v>22</v>
      </c>
      <c r="B21" s="23">
        <v>37000</v>
      </c>
      <c r="C21" s="23">
        <v>60000</v>
      </c>
      <c r="D21" s="23">
        <v>70000</v>
      </c>
      <c r="E21" s="21">
        <f t="shared" si="0"/>
        <v>55666.666666666664</v>
      </c>
    </row>
    <row r="22" spans="1:6" x14ac:dyDescent="0.5">
      <c r="A22" s="15" t="s">
        <v>23</v>
      </c>
      <c r="B22" s="23">
        <v>13000</v>
      </c>
      <c r="C22" s="23">
        <v>20000</v>
      </c>
      <c r="D22" s="23">
        <v>24000</v>
      </c>
      <c r="E22" s="21">
        <f t="shared" si="0"/>
        <v>19000</v>
      </c>
    </row>
    <row r="23" spans="1:6" x14ac:dyDescent="0.5">
      <c r="A23" s="15"/>
      <c r="B23" s="23"/>
      <c r="C23" s="24"/>
      <c r="D23" s="24"/>
      <c r="E23" s="17"/>
    </row>
    <row r="24" spans="1:6" x14ac:dyDescent="0.5">
      <c r="A24" s="22" t="s">
        <v>24</v>
      </c>
      <c r="B24" s="23">
        <f>SUM(B6:B22)</f>
        <v>1214000</v>
      </c>
      <c r="C24" s="23">
        <f>SUM(C6:C22)</f>
        <v>1992000</v>
      </c>
      <c r="D24" s="23">
        <f>SUM(D6:D22)</f>
        <v>2326000</v>
      </c>
      <c r="E24" s="21">
        <f t="shared" ref="E24" si="1">SUM(E6:E22)</f>
        <v>1844000.0000000002</v>
      </c>
      <c r="F24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abSelected="1" topLeftCell="A14" workbookViewId="0">
      <selection activeCell="F40" sqref="F40"/>
    </sheetView>
  </sheetViews>
  <sheetFormatPr defaultRowHeight="14.35" x14ac:dyDescent="0.5"/>
  <cols>
    <col min="1" max="1" width="39.5859375" customWidth="1"/>
    <col min="2" max="5" width="20.703125" customWidth="1"/>
    <col min="6" max="6" width="18.117187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25</v>
      </c>
      <c r="B2" s="13" t="s">
        <v>26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3" t="s">
        <v>10</v>
      </c>
      <c r="B6" s="18">
        <v>71000</v>
      </c>
      <c r="C6" s="18">
        <v>71000</v>
      </c>
      <c r="D6" s="18">
        <v>180000</v>
      </c>
      <c r="E6" s="21">
        <f>SUM(B6:D6)/3</f>
        <v>107333.33333333333</v>
      </c>
    </row>
    <row r="7" spans="1:5" x14ac:dyDescent="0.5">
      <c r="A7" s="3" t="s">
        <v>11</v>
      </c>
      <c r="B7" s="18">
        <v>51000</v>
      </c>
      <c r="C7" s="18">
        <v>32000</v>
      </c>
      <c r="D7" s="18">
        <v>196000</v>
      </c>
      <c r="E7" s="21">
        <f>SUM(B7:D7)/3</f>
        <v>93000</v>
      </c>
    </row>
    <row r="8" spans="1:5" x14ac:dyDescent="0.5">
      <c r="A8" s="3" t="s">
        <v>12</v>
      </c>
      <c r="B8" s="18">
        <v>36000</v>
      </c>
      <c r="C8" s="18">
        <v>32000</v>
      </c>
      <c r="D8" s="18">
        <v>119000</v>
      </c>
      <c r="E8" s="21">
        <f>SUM(B8:D8)/3</f>
        <v>62333.333333333336</v>
      </c>
    </row>
    <row r="9" spans="1:5" x14ac:dyDescent="0.5">
      <c r="E9" s="21"/>
    </row>
    <row r="10" spans="1:5" x14ac:dyDescent="0.5">
      <c r="A10" s="4" t="s">
        <v>13</v>
      </c>
      <c r="B10" s="2"/>
      <c r="C10" s="2"/>
      <c r="D10" s="2"/>
      <c r="E10" s="21"/>
    </row>
    <row r="11" spans="1:5" x14ac:dyDescent="0.5">
      <c r="A11" s="3" t="s">
        <v>14</v>
      </c>
      <c r="B11" s="18">
        <v>2000</v>
      </c>
      <c r="C11" s="18">
        <v>61000</v>
      </c>
      <c r="D11" s="18">
        <v>22000</v>
      </c>
      <c r="E11" s="21">
        <f>SUM(B11:D11)/3</f>
        <v>28333.333333333332</v>
      </c>
    </row>
    <row r="12" spans="1:5" x14ac:dyDescent="0.5">
      <c r="A12" s="3" t="s">
        <v>15</v>
      </c>
      <c r="B12" s="18">
        <v>38000</v>
      </c>
      <c r="C12" s="18">
        <v>94000</v>
      </c>
      <c r="D12" s="18">
        <v>78000</v>
      </c>
      <c r="E12" s="21">
        <f>SUM(B12:D12)/3</f>
        <v>70000</v>
      </c>
    </row>
    <row r="13" spans="1:5" x14ac:dyDescent="0.5">
      <c r="A13" s="3" t="s">
        <v>16</v>
      </c>
      <c r="B13" s="18">
        <v>13000</v>
      </c>
      <c r="C13" s="18">
        <v>106000</v>
      </c>
      <c r="D13" s="18">
        <v>56000</v>
      </c>
      <c r="E13" s="21">
        <f>SUM(B13:D13)/3</f>
        <v>58333.333333333336</v>
      </c>
    </row>
    <row r="14" spans="1:5" x14ac:dyDescent="0.5">
      <c r="E14" s="21"/>
    </row>
    <row r="15" spans="1:5" x14ac:dyDescent="0.5">
      <c r="A15" s="4" t="s">
        <v>17</v>
      </c>
      <c r="B15" s="2"/>
      <c r="C15" s="2"/>
      <c r="D15" s="2"/>
      <c r="E15" s="21"/>
    </row>
    <row r="16" spans="1:5" x14ac:dyDescent="0.5">
      <c r="A16" s="3" t="s">
        <v>18</v>
      </c>
      <c r="B16" s="18">
        <v>98000</v>
      </c>
      <c r="C16" s="18">
        <v>160000</v>
      </c>
      <c r="D16" s="18">
        <v>190000</v>
      </c>
      <c r="E16" s="21">
        <f>SUM(B16:D16)/3</f>
        <v>149333.33333333334</v>
      </c>
    </row>
    <row r="17" spans="1:6" x14ac:dyDescent="0.5">
      <c r="A17" s="3" t="s">
        <v>19</v>
      </c>
      <c r="B17" s="18">
        <v>98000</v>
      </c>
      <c r="C17" s="18">
        <v>158000</v>
      </c>
      <c r="D17" s="18">
        <v>187000</v>
      </c>
      <c r="E17" s="21">
        <f>SUM(B17:D17)/3</f>
        <v>147666.66666666666</v>
      </c>
    </row>
    <row r="18" spans="1:6" x14ac:dyDescent="0.5">
      <c r="E18" s="21"/>
    </row>
    <row r="19" spans="1:6" x14ac:dyDescent="0.5">
      <c r="A19" s="4" t="s">
        <v>20</v>
      </c>
      <c r="B19" s="2"/>
      <c r="C19" s="2"/>
      <c r="D19" s="2"/>
      <c r="E19" s="21"/>
    </row>
    <row r="20" spans="1:6" x14ac:dyDescent="0.5">
      <c r="A20" s="3" t="s">
        <v>21</v>
      </c>
      <c r="B20" s="18">
        <v>59000</v>
      </c>
      <c r="C20" s="18">
        <v>95000</v>
      </c>
      <c r="D20" s="18">
        <v>112000</v>
      </c>
      <c r="E20" s="21">
        <f>SUM(B20:D20)/3</f>
        <v>88666.666666666672</v>
      </c>
    </row>
    <row r="21" spans="1:6" x14ac:dyDescent="0.5">
      <c r="A21" s="3" t="s">
        <v>22</v>
      </c>
      <c r="B21" s="18">
        <v>30000</v>
      </c>
      <c r="C21" s="18">
        <v>49000</v>
      </c>
      <c r="D21" s="18">
        <v>56000</v>
      </c>
      <c r="E21" s="21">
        <f>SUM(B21:D21)/3</f>
        <v>45000</v>
      </c>
    </row>
    <row r="22" spans="1:6" x14ac:dyDescent="0.5">
      <c r="A22" s="3" t="s">
        <v>23</v>
      </c>
      <c r="B22" s="18">
        <v>10000</v>
      </c>
      <c r="C22" s="18">
        <v>16000</v>
      </c>
      <c r="D22" s="18">
        <v>19000</v>
      </c>
      <c r="E22" s="21">
        <f>SUM(B22:D22)/3</f>
        <v>15000</v>
      </c>
    </row>
    <row r="23" spans="1:6" x14ac:dyDescent="0.5">
      <c r="A23" s="3"/>
      <c r="B23" s="18"/>
      <c r="C23" s="2"/>
      <c r="D23" s="2"/>
      <c r="E23" s="2"/>
    </row>
    <row r="24" spans="1:6" x14ac:dyDescent="0.5">
      <c r="A24" s="2" t="s">
        <v>24</v>
      </c>
      <c r="B24" s="18">
        <f>SUM(B6:B22)</f>
        <v>506000</v>
      </c>
      <c r="C24" s="18">
        <f>SUM(C6:C22)</f>
        <v>874000</v>
      </c>
      <c r="D24" s="18">
        <f>SUM(D6:D22)</f>
        <v>1215000</v>
      </c>
      <c r="E24" s="18">
        <f t="shared" ref="E24" si="0">SUM(E6:E22)</f>
        <v>864999.99999999988</v>
      </c>
      <c r="F24" s="14"/>
    </row>
    <row r="28" spans="1:6" x14ac:dyDescent="0.5">
      <c r="A28" s="2" t="s">
        <v>27</v>
      </c>
      <c r="B28" s="5" t="s">
        <v>5</v>
      </c>
      <c r="C28" s="5" t="s">
        <v>6</v>
      </c>
      <c r="D28" s="5" t="s">
        <v>7</v>
      </c>
      <c r="E28" s="5" t="s">
        <v>8</v>
      </c>
    </row>
    <row r="29" spans="1:6" x14ac:dyDescent="0.5">
      <c r="A29" s="1" t="s">
        <v>9</v>
      </c>
      <c r="B29" s="2"/>
      <c r="C29" s="2"/>
      <c r="D29" s="2"/>
      <c r="E29" s="2"/>
    </row>
    <row r="30" spans="1:6" x14ac:dyDescent="0.5">
      <c r="A30" s="15" t="s">
        <v>10</v>
      </c>
      <c r="B30" s="18">
        <v>129000</v>
      </c>
      <c r="C30" s="18">
        <v>258000</v>
      </c>
      <c r="D30" s="18">
        <v>202000</v>
      </c>
      <c r="E30" s="21">
        <f t="shared" ref="E30:E32" si="1">SUM(B30:D30)/3</f>
        <v>196333.33333333334</v>
      </c>
    </row>
    <row r="31" spans="1:6" x14ac:dyDescent="0.5">
      <c r="A31" s="15" t="s">
        <v>11</v>
      </c>
      <c r="B31" s="18">
        <v>100000</v>
      </c>
      <c r="C31" s="18">
        <v>213000</v>
      </c>
      <c r="D31" s="18">
        <v>95000</v>
      </c>
      <c r="E31" s="21">
        <f t="shared" si="1"/>
        <v>136000</v>
      </c>
    </row>
    <row r="32" spans="1:6" x14ac:dyDescent="0.5">
      <c r="A32" s="15" t="s">
        <v>12</v>
      </c>
      <c r="B32" s="18">
        <v>42000</v>
      </c>
      <c r="C32" s="18">
        <v>95000</v>
      </c>
      <c r="D32" s="18">
        <v>30000</v>
      </c>
      <c r="E32" s="21">
        <f t="shared" si="1"/>
        <v>55666.666666666664</v>
      </c>
    </row>
    <row r="33" spans="1:6" x14ac:dyDescent="0.5">
      <c r="B33" s="2"/>
      <c r="C33" s="2"/>
      <c r="D33" s="2"/>
      <c r="E33" s="14"/>
    </row>
    <row r="34" spans="1:6" x14ac:dyDescent="0.5">
      <c r="A34" s="16" t="s">
        <v>13</v>
      </c>
      <c r="B34" s="2"/>
      <c r="C34" s="2"/>
      <c r="D34" s="2"/>
      <c r="E34" s="21"/>
    </row>
    <row r="35" spans="1:6" x14ac:dyDescent="0.5">
      <c r="A35" s="15" t="s">
        <v>14</v>
      </c>
      <c r="B35" s="18">
        <v>16000</v>
      </c>
      <c r="C35" s="18">
        <v>22000</v>
      </c>
      <c r="D35" s="18">
        <v>76000</v>
      </c>
      <c r="E35" s="21">
        <f t="shared" ref="E35:E37" si="2">SUM(B35:D35)/3</f>
        <v>38000</v>
      </c>
    </row>
    <row r="36" spans="1:6" x14ac:dyDescent="0.5">
      <c r="A36" s="15" t="s">
        <v>15</v>
      </c>
      <c r="B36" s="18">
        <v>19000</v>
      </c>
      <c r="C36" s="18">
        <v>96000</v>
      </c>
      <c r="D36" s="18">
        <v>145000</v>
      </c>
      <c r="E36" s="21">
        <f t="shared" si="2"/>
        <v>86666.666666666672</v>
      </c>
      <c r="F36" s="20"/>
    </row>
    <row r="37" spans="1:6" x14ac:dyDescent="0.5">
      <c r="A37" s="15" t="s">
        <v>16</v>
      </c>
      <c r="B37" s="18">
        <v>26000</v>
      </c>
      <c r="C37" s="18">
        <v>34000</v>
      </c>
      <c r="D37" s="18">
        <v>110000</v>
      </c>
      <c r="E37" s="21">
        <f t="shared" si="2"/>
        <v>56666.666666666664</v>
      </c>
    </row>
    <row r="38" spans="1:6" x14ac:dyDescent="0.5">
      <c r="A38" s="2"/>
      <c r="B38" s="2"/>
      <c r="C38" s="2"/>
      <c r="D38" s="2"/>
      <c r="E38" s="2"/>
    </row>
    <row r="39" spans="1:6" x14ac:dyDescent="0.5">
      <c r="A39" s="19" t="s">
        <v>24</v>
      </c>
      <c r="B39" s="18">
        <f>SUM(B30:B38)</f>
        <v>332000</v>
      </c>
      <c r="C39" s="18">
        <f t="shared" ref="C39:E39" si="3">SUM(C30:C38)</f>
        <v>718000</v>
      </c>
      <c r="D39" s="18">
        <f t="shared" si="3"/>
        <v>658000</v>
      </c>
      <c r="E39" s="18">
        <f t="shared" si="3"/>
        <v>569333.33333333337</v>
      </c>
      <c r="F39" s="14">
        <f>SUM(B39:E39)</f>
        <v>2277333.3333333335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topLeftCell="A22" workbookViewId="0">
      <selection activeCell="B35" sqref="B35"/>
    </sheetView>
  </sheetViews>
  <sheetFormatPr defaultRowHeight="14.35" x14ac:dyDescent="0.5"/>
  <cols>
    <col min="1" max="1" width="39.5859375" customWidth="1"/>
    <col min="2" max="5" width="20.703125" customWidth="1"/>
    <col min="6" max="6" width="23.7031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28</v>
      </c>
      <c r="B2" s="13" t="s">
        <v>29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10000</v>
      </c>
      <c r="C6" s="18">
        <v>93000</v>
      </c>
      <c r="D6" s="18">
        <v>86000</v>
      </c>
      <c r="E6" s="21">
        <f>SUM(B6:D6)/3</f>
        <v>63000</v>
      </c>
    </row>
    <row r="7" spans="1:5" x14ac:dyDescent="0.5">
      <c r="A7" s="15" t="s">
        <v>11</v>
      </c>
      <c r="B7" s="18">
        <v>68000</v>
      </c>
      <c r="C7" s="18">
        <v>32000</v>
      </c>
      <c r="D7" s="18">
        <v>159000</v>
      </c>
      <c r="E7" s="21">
        <f>SUM(B7:D7)/3</f>
        <v>86333.333333333328</v>
      </c>
    </row>
    <row r="8" spans="1:5" x14ac:dyDescent="0.5">
      <c r="A8" s="15" t="s">
        <v>12</v>
      </c>
      <c r="B8" s="18">
        <v>45000</v>
      </c>
      <c r="C8" s="18">
        <v>6600</v>
      </c>
      <c r="D8" s="18">
        <v>53000</v>
      </c>
      <c r="E8" s="21">
        <f>SUM(B8:D8)/3</f>
        <v>34866.666666666664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25000</v>
      </c>
      <c r="C11" s="18">
        <v>59000</v>
      </c>
      <c r="D11" s="18">
        <v>26000</v>
      </c>
      <c r="E11" s="21">
        <f>SUM(B11:D11)/3</f>
        <v>36666.666666666664</v>
      </c>
    </row>
    <row r="12" spans="1:5" x14ac:dyDescent="0.5">
      <c r="A12" s="15" t="s">
        <v>15</v>
      </c>
      <c r="B12" s="18">
        <v>7000</v>
      </c>
      <c r="C12" s="18">
        <v>23000</v>
      </c>
      <c r="D12" s="18">
        <v>86000</v>
      </c>
      <c r="E12" s="21">
        <f>SUM(B12:D12)/3</f>
        <v>38666.666666666664</v>
      </c>
    </row>
    <row r="13" spans="1:5" x14ac:dyDescent="0.5">
      <c r="A13" s="15" t="s">
        <v>16</v>
      </c>
      <c r="B13" s="18">
        <v>36000</v>
      </c>
      <c r="C13" s="18">
        <v>99000</v>
      </c>
      <c r="D13" s="18">
        <v>12000</v>
      </c>
      <c r="E13" s="21">
        <f>SUM(B13:D13)/3</f>
        <v>49000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71000</v>
      </c>
      <c r="C16" s="18">
        <v>116000</v>
      </c>
      <c r="D16" s="18">
        <v>136000</v>
      </c>
      <c r="E16" s="21">
        <f>SUM(B16:D16)/3</f>
        <v>107666.66666666667</v>
      </c>
    </row>
    <row r="17" spans="1:6" x14ac:dyDescent="0.5">
      <c r="A17" s="15" t="s">
        <v>19</v>
      </c>
      <c r="B17" s="18">
        <v>72000</v>
      </c>
      <c r="C17" s="18">
        <v>117000</v>
      </c>
      <c r="D17" s="18">
        <v>134000</v>
      </c>
      <c r="E17" s="21">
        <f>SUM(B17:D17)/3</f>
        <v>107666.66666666667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42000</v>
      </c>
      <c r="C20" s="18">
        <v>70000</v>
      </c>
      <c r="D20" s="18">
        <v>83000</v>
      </c>
      <c r="E20" s="21">
        <f>SUM(B20:D20)/3</f>
        <v>65000</v>
      </c>
      <c r="F20" s="20"/>
    </row>
    <row r="21" spans="1:6" x14ac:dyDescent="0.5">
      <c r="A21" s="15" t="s">
        <v>22</v>
      </c>
      <c r="B21" s="18">
        <v>22000</v>
      </c>
      <c r="C21" s="18">
        <v>36000</v>
      </c>
      <c r="D21" s="18">
        <v>41000</v>
      </c>
      <c r="E21" s="21">
        <f>SUM(B21:D21)/3</f>
        <v>33000</v>
      </c>
    </row>
    <row r="22" spans="1:6" x14ac:dyDescent="0.5">
      <c r="A22" s="15" t="s">
        <v>23</v>
      </c>
      <c r="B22" s="18">
        <v>7500</v>
      </c>
      <c r="C22" s="18">
        <v>12000</v>
      </c>
      <c r="D22" s="18">
        <v>14000</v>
      </c>
      <c r="E22" s="21">
        <f>SUM(B22:D22)/3</f>
        <v>11166.666666666666</v>
      </c>
      <c r="F22" s="25"/>
    </row>
    <row r="23" spans="1:6" x14ac:dyDescent="0.5">
      <c r="A23" s="3"/>
      <c r="B23" s="18"/>
      <c r="C23" s="2"/>
      <c r="D23" s="2"/>
      <c r="E23" s="2"/>
      <c r="F23" s="25"/>
    </row>
    <row r="24" spans="1:6" x14ac:dyDescent="0.5">
      <c r="A24" s="2" t="s">
        <v>24</v>
      </c>
      <c r="B24" s="18">
        <f>SUM(B6:B22)</f>
        <v>405500</v>
      </c>
      <c r="C24" s="18">
        <f>SUM(C6:C22)</f>
        <v>663600</v>
      </c>
      <c r="D24" s="18">
        <f>SUM(D6:D22)</f>
        <v>830000</v>
      </c>
      <c r="E24" s="18">
        <f t="shared" ref="E24" si="0">SUM(E6:E22)</f>
        <v>633033.33333333326</v>
      </c>
      <c r="F24" s="25"/>
    </row>
    <row r="25" spans="1:6" x14ac:dyDescent="0.5">
      <c r="F25" s="25"/>
    </row>
    <row r="26" spans="1:6" x14ac:dyDescent="0.5">
      <c r="F26" s="25"/>
    </row>
    <row r="27" spans="1:6" x14ac:dyDescent="0.5">
      <c r="A27" s="2" t="s">
        <v>30</v>
      </c>
      <c r="B27" s="5" t="s">
        <v>5</v>
      </c>
      <c r="C27" s="5" t="s">
        <v>6</v>
      </c>
      <c r="D27" s="5" t="s">
        <v>7</v>
      </c>
      <c r="E27" s="5" t="s">
        <v>8</v>
      </c>
      <c r="F27" s="25"/>
    </row>
    <row r="28" spans="1:6" x14ac:dyDescent="0.5">
      <c r="A28" s="1" t="s">
        <v>9</v>
      </c>
      <c r="B28" s="2"/>
      <c r="C28" s="2"/>
      <c r="D28" s="2"/>
      <c r="E28" s="2"/>
      <c r="F28" s="25"/>
    </row>
    <row r="29" spans="1:6" x14ac:dyDescent="0.5">
      <c r="A29" s="15" t="s">
        <v>10</v>
      </c>
      <c r="B29" s="26">
        <v>98000</v>
      </c>
      <c r="C29" s="26">
        <v>148000</v>
      </c>
      <c r="D29" s="26">
        <v>193000</v>
      </c>
      <c r="E29" s="21">
        <f>SUM(B29:D29)/3</f>
        <v>146333.33333333334</v>
      </c>
      <c r="F29" s="25"/>
    </row>
    <row r="30" spans="1:6" x14ac:dyDescent="0.5">
      <c r="A30" s="15" t="s">
        <v>11</v>
      </c>
      <c r="B30" s="26">
        <v>80000</v>
      </c>
      <c r="C30" s="26">
        <v>146000</v>
      </c>
      <c r="D30" s="26">
        <v>49000</v>
      </c>
      <c r="E30" s="21">
        <f>SUM(B30:D30)/3</f>
        <v>91666.666666666672</v>
      </c>
      <c r="F30" s="25"/>
    </row>
    <row r="31" spans="1:6" x14ac:dyDescent="0.5">
      <c r="A31" s="15" t="s">
        <v>12</v>
      </c>
      <c r="B31" s="26">
        <v>27000</v>
      </c>
      <c r="C31" s="26">
        <v>89000</v>
      </c>
      <c r="D31" s="26">
        <v>56000</v>
      </c>
      <c r="E31" s="21">
        <f>SUM(B31:D31)/3</f>
        <v>57333.333333333336</v>
      </c>
      <c r="F31" s="25"/>
    </row>
    <row r="32" spans="1:6" x14ac:dyDescent="0.5">
      <c r="B32" s="26"/>
      <c r="C32" s="27"/>
      <c r="D32" s="27"/>
      <c r="E32" s="21"/>
      <c r="F32" s="25"/>
    </row>
    <row r="33" spans="1:6" x14ac:dyDescent="0.5">
      <c r="A33" s="16" t="s">
        <v>13</v>
      </c>
      <c r="B33" s="26"/>
      <c r="C33" s="27"/>
      <c r="D33" s="27"/>
      <c r="E33" s="21"/>
      <c r="F33" s="25"/>
    </row>
    <row r="34" spans="1:6" x14ac:dyDescent="0.5">
      <c r="A34" s="15" t="s">
        <v>14</v>
      </c>
      <c r="B34" s="26">
        <v>33000</v>
      </c>
      <c r="C34" s="26">
        <v>2000</v>
      </c>
      <c r="D34" s="26">
        <v>46000</v>
      </c>
      <c r="E34" s="21">
        <f>SUM(B34:D34)/3</f>
        <v>27000</v>
      </c>
      <c r="F34" s="25"/>
    </row>
    <row r="35" spans="1:6" x14ac:dyDescent="0.5">
      <c r="A35" s="15" t="s">
        <v>15</v>
      </c>
      <c r="B35" s="26">
        <v>43000</v>
      </c>
      <c r="C35" s="26">
        <v>117000</v>
      </c>
      <c r="D35" s="26">
        <v>76000</v>
      </c>
      <c r="E35" s="21">
        <f>SUM(B35:D35)/3</f>
        <v>78666.666666666672</v>
      </c>
      <c r="F35" s="25"/>
    </row>
    <row r="36" spans="1:6" x14ac:dyDescent="0.5">
      <c r="A36" s="15" t="s">
        <v>16</v>
      </c>
      <c r="B36" s="26">
        <v>24000</v>
      </c>
      <c r="C36" s="26">
        <v>6000</v>
      </c>
      <c r="D36" s="26">
        <v>110000</v>
      </c>
      <c r="E36" s="21">
        <f>SUM(B36:D36)/3</f>
        <v>46666.666666666664</v>
      </c>
      <c r="F36" s="25"/>
    </row>
    <row r="37" spans="1:6" x14ac:dyDescent="0.5">
      <c r="A37" s="2"/>
      <c r="B37" s="2"/>
      <c r="C37" s="2"/>
      <c r="D37" s="2"/>
      <c r="E37" s="2"/>
    </row>
    <row r="38" spans="1:6" x14ac:dyDescent="0.5">
      <c r="A38" s="19" t="s">
        <v>24</v>
      </c>
      <c r="B38" s="18">
        <f>SUM(B29:B37)</f>
        <v>305000</v>
      </c>
      <c r="C38" s="18">
        <f t="shared" ref="C38:E38" si="1">SUM(C29:C37)</f>
        <v>508000</v>
      </c>
      <c r="D38" s="18">
        <f t="shared" si="1"/>
        <v>530000</v>
      </c>
      <c r="E38" s="18">
        <f t="shared" si="1"/>
        <v>447666.66666666669</v>
      </c>
      <c r="F38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31</v>
      </c>
      <c r="B2" s="13" t="s">
        <v>32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337000</v>
      </c>
      <c r="C6" s="18">
        <v>555000</v>
      </c>
      <c r="D6" s="18">
        <v>645000</v>
      </c>
      <c r="E6" s="21">
        <f>SUM(B6:D6)/3</f>
        <v>512333.33333333331</v>
      </c>
    </row>
    <row r="7" spans="1:5" x14ac:dyDescent="0.5">
      <c r="A7" s="15" t="s">
        <v>11</v>
      </c>
      <c r="B7" s="18">
        <v>250000</v>
      </c>
      <c r="C7" s="18">
        <v>415000</v>
      </c>
      <c r="D7" s="18">
        <v>485000</v>
      </c>
      <c r="E7" s="21">
        <f>SUM(B7:D7)/3</f>
        <v>383333.33333333331</v>
      </c>
    </row>
    <row r="8" spans="1:5" x14ac:dyDescent="0.5">
      <c r="A8" s="15" t="s">
        <v>12</v>
      </c>
      <c r="B8" s="18">
        <v>130000</v>
      </c>
      <c r="C8" s="18">
        <v>214000</v>
      </c>
      <c r="D8" s="18">
        <v>247000</v>
      </c>
      <c r="E8" s="21">
        <f>SUM(B8:D8)/3</f>
        <v>197000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85000</v>
      </c>
      <c r="C11" s="18">
        <v>141000</v>
      </c>
      <c r="D11" s="18">
        <v>163000</v>
      </c>
      <c r="E11" s="21">
        <f>SUM(B11:D11)/3</f>
        <v>129666.66666666667</v>
      </c>
    </row>
    <row r="12" spans="1:5" x14ac:dyDescent="0.5">
      <c r="A12" s="15" t="s">
        <v>15</v>
      </c>
      <c r="B12" s="18">
        <v>197000</v>
      </c>
      <c r="C12" s="18">
        <v>320000</v>
      </c>
      <c r="D12" s="18">
        <v>372000</v>
      </c>
      <c r="E12" s="21">
        <f>SUM(B12:D12)/3</f>
        <v>296333.33333333331</v>
      </c>
    </row>
    <row r="13" spans="1:5" x14ac:dyDescent="0.5">
      <c r="A13" s="15" t="s">
        <v>16</v>
      </c>
      <c r="B13" s="18">
        <v>145000</v>
      </c>
      <c r="C13" s="18">
        <v>236000</v>
      </c>
      <c r="D13" s="18">
        <v>276000</v>
      </c>
      <c r="E13" s="21">
        <f>SUM(B13:D13)/3</f>
        <v>219000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164000</v>
      </c>
      <c r="C16" s="18">
        <v>267000</v>
      </c>
      <c r="D16" s="18">
        <v>315000</v>
      </c>
      <c r="E16" s="21">
        <f>SUM(B16:D16)/3</f>
        <v>248666.66666666666</v>
      </c>
    </row>
    <row r="17" spans="1:6" x14ac:dyDescent="0.5">
      <c r="A17" s="15" t="s">
        <v>19</v>
      </c>
      <c r="B17" s="18">
        <v>164000</v>
      </c>
      <c r="C17" s="18">
        <v>269000</v>
      </c>
      <c r="D17" s="18">
        <v>311000</v>
      </c>
      <c r="E17" s="21">
        <f>SUM(B17:D17)/3</f>
        <v>248000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100000</v>
      </c>
      <c r="C20" s="18">
        <v>161000</v>
      </c>
      <c r="D20" s="18">
        <v>188000</v>
      </c>
      <c r="E20" s="21">
        <f>SUM(B20:D20)/3</f>
        <v>149666.66666666666</v>
      </c>
    </row>
    <row r="21" spans="1:6" x14ac:dyDescent="0.5">
      <c r="A21" s="15" t="s">
        <v>22</v>
      </c>
      <c r="B21" s="18">
        <v>51000</v>
      </c>
      <c r="C21" s="18">
        <v>80000</v>
      </c>
      <c r="D21" s="18">
        <v>94000</v>
      </c>
      <c r="E21" s="21">
        <f>SUM(B21:D21)/3</f>
        <v>75000</v>
      </c>
      <c r="F21" s="28"/>
    </row>
    <row r="22" spans="1:6" x14ac:dyDescent="0.5">
      <c r="A22" s="15" t="s">
        <v>23</v>
      </c>
      <c r="B22" s="18">
        <v>17000</v>
      </c>
      <c r="C22" s="18">
        <v>27000</v>
      </c>
      <c r="D22" s="18">
        <v>32000</v>
      </c>
      <c r="E22" s="21">
        <f>SUM(B22:D22)/3</f>
        <v>25333.333333333332</v>
      </c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1640000</v>
      </c>
      <c r="C24" s="18">
        <f>SUM(C6:C22)</f>
        <v>2685000</v>
      </c>
      <c r="D24" s="18">
        <f>SUM(D6:D22)</f>
        <v>3128000</v>
      </c>
      <c r="E24" s="18">
        <f t="shared" ref="E24" si="0">SUM(E6:E22)</f>
        <v>2484333.333333333</v>
      </c>
      <c r="F2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>
      <selection activeCell="E24" sqref="E24"/>
    </sheetView>
  </sheetViews>
  <sheetFormatPr defaultRowHeight="14.35" x14ac:dyDescent="0.5"/>
  <cols>
    <col min="1" max="1" width="39.5859375" customWidth="1"/>
    <col min="2" max="5" width="20.703125" customWidth="1"/>
    <col min="6" max="6" width="16.87890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33</v>
      </c>
      <c r="B2" s="13" t="s">
        <v>34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561000</v>
      </c>
      <c r="C6" s="18">
        <v>917000</v>
      </c>
      <c r="D6" s="18">
        <v>1070000</v>
      </c>
      <c r="E6" s="21">
        <f>SUM(B6:D6)/3</f>
        <v>849333.33333333337</v>
      </c>
    </row>
    <row r="7" spans="1:5" x14ac:dyDescent="0.5">
      <c r="A7" s="15" t="s">
        <v>11</v>
      </c>
      <c r="B7" s="18">
        <v>418000</v>
      </c>
      <c r="C7" s="18">
        <v>684000</v>
      </c>
      <c r="D7" s="18">
        <v>800000</v>
      </c>
      <c r="E7" s="21">
        <f>SUM(B7:D7)/3</f>
        <v>634000</v>
      </c>
    </row>
    <row r="8" spans="1:5" x14ac:dyDescent="0.5">
      <c r="A8" s="15" t="s">
        <v>12</v>
      </c>
      <c r="B8" s="18">
        <v>215000</v>
      </c>
      <c r="C8" s="18">
        <v>351000</v>
      </c>
      <c r="D8" s="18">
        <v>410000</v>
      </c>
      <c r="E8" s="21">
        <f>SUM(B8:D8)/3</f>
        <v>325333.33333333331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142000</v>
      </c>
      <c r="C11" s="18">
        <v>232000</v>
      </c>
      <c r="D11" s="18">
        <v>270000</v>
      </c>
      <c r="E11" s="21">
        <f>SUM(B11:D11)/3</f>
        <v>214666.66666666666</v>
      </c>
    </row>
    <row r="12" spans="1:5" x14ac:dyDescent="0.5">
      <c r="A12" s="15" t="s">
        <v>15</v>
      </c>
      <c r="B12" s="18">
        <v>325000</v>
      </c>
      <c r="C12" s="18">
        <v>531000</v>
      </c>
      <c r="D12" s="18">
        <v>618000</v>
      </c>
      <c r="E12" s="21">
        <f>SUM(B12:D12)/3</f>
        <v>491333.33333333331</v>
      </c>
    </row>
    <row r="13" spans="1:5" x14ac:dyDescent="0.5">
      <c r="A13" s="15" t="s">
        <v>16</v>
      </c>
      <c r="B13" s="18">
        <v>240000</v>
      </c>
      <c r="C13" s="18">
        <v>393000</v>
      </c>
      <c r="D13" s="18">
        <v>459000</v>
      </c>
      <c r="E13" s="21">
        <f>SUM(B13:D13)/3</f>
        <v>364000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273000</v>
      </c>
      <c r="C16" s="18">
        <v>446000</v>
      </c>
      <c r="D16" s="18">
        <v>517000</v>
      </c>
      <c r="E16" s="21">
        <f>SUM(B16:D16)/3</f>
        <v>412000</v>
      </c>
    </row>
    <row r="17" spans="1:6" x14ac:dyDescent="0.5">
      <c r="A17" s="15" t="s">
        <v>19</v>
      </c>
      <c r="B17" s="18">
        <v>272000</v>
      </c>
      <c r="C17" s="18">
        <v>444000</v>
      </c>
      <c r="D17" s="18">
        <v>518000</v>
      </c>
      <c r="E17" s="21">
        <f>SUM(B17:D17)/3</f>
        <v>411333.33333333331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163000</v>
      </c>
      <c r="C20" s="18">
        <v>268000</v>
      </c>
      <c r="D20" s="18">
        <v>312000</v>
      </c>
      <c r="E20" s="21">
        <f>SUM(B20:D20)/3</f>
        <v>247666.66666666666</v>
      </c>
    </row>
    <row r="21" spans="1:6" x14ac:dyDescent="0.5">
      <c r="A21" s="15" t="s">
        <v>22</v>
      </c>
      <c r="B21" s="18">
        <v>82000</v>
      </c>
      <c r="C21" s="18">
        <v>135000</v>
      </c>
      <c r="D21" s="18">
        <v>156000</v>
      </c>
      <c r="E21" s="21">
        <f>SUM(B21:D21)/3</f>
        <v>124333.33333333333</v>
      </c>
      <c r="F21" s="28"/>
    </row>
    <row r="22" spans="1:6" x14ac:dyDescent="0.5">
      <c r="A22" s="15" t="s">
        <v>23</v>
      </c>
      <c r="B22" s="18">
        <v>28000</v>
      </c>
      <c r="C22" s="18">
        <v>45000</v>
      </c>
      <c r="D22" s="18">
        <v>52000</v>
      </c>
      <c r="E22" s="21">
        <f>SUM(B22:D22)/3</f>
        <v>41666.666666666664</v>
      </c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2719000</v>
      </c>
      <c r="C24" s="18">
        <f>SUM(C6:C22)</f>
        <v>4446000</v>
      </c>
      <c r="D24" s="18">
        <f>SUM(D6:D22)</f>
        <v>5182000</v>
      </c>
      <c r="E24" s="18">
        <f t="shared" ref="E24" si="0">SUM(E6:E22)</f>
        <v>4115666.666666667</v>
      </c>
      <c r="F24" s="1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117187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35</v>
      </c>
      <c r="B2" s="13" t="s">
        <v>36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56000</v>
      </c>
      <c r="C6" s="18">
        <v>92000</v>
      </c>
      <c r="D6" s="18">
        <v>107000</v>
      </c>
      <c r="E6" s="21">
        <f>SUM(B6:D6)/3</f>
        <v>85000</v>
      </c>
    </row>
    <row r="7" spans="1:5" x14ac:dyDescent="0.5">
      <c r="A7" s="15" t="s">
        <v>11</v>
      </c>
      <c r="B7" s="18">
        <v>42000</v>
      </c>
      <c r="C7" s="18">
        <v>70000</v>
      </c>
      <c r="D7" s="18">
        <v>80000</v>
      </c>
      <c r="E7" s="21">
        <f>SUM(B7:D7)/3</f>
        <v>64000</v>
      </c>
    </row>
    <row r="8" spans="1:5" x14ac:dyDescent="0.5">
      <c r="A8" s="15" t="s">
        <v>12</v>
      </c>
      <c r="B8" s="18">
        <v>22000</v>
      </c>
      <c r="C8" s="18">
        <v>35000</v>
      </c>
      <c r="D8" s="18">
        <v>41000</v>
      </c>
      <c r="E8" s="21">
        <f>SUM(B8:D8)/3</f>
        <v>32666.666666666668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15000</v>
      </c>
      <c r="C11" s="18">
        <v>24000</v>
      </c>
      <c r="D11" s="18">
        <v>28000</v>
      </c>
      <c r="E11" s="21">
        <f>SUM(B11:D11)/3</f>
        <v>22333.333333333332</v>
      </c>
    </row>
    <row r="12" spans="1:5" x14ac:dyDescent="0.5">
      <c r="A12" s="15" t="s">
        <v>15</v>
      </c>
      <c r="B12" s="18">
        <v>33000</v>
      </c>
      <c r="C12" s="18">
        <v>53000</v>
      </c>
      <c r="D12" s="18">
        <v>64000</v>
      </c>
      <c r="E12" s="21">
        <f>SUM(B12:D12)/3</f>
        <v>50000</v>
      </c>
    </row>
    <row r="13" spans="1:5" x14ac:dyDescent="0.5">
      <c r="A13" s="15" t="s">
        <v>16</v>
      </c>
      <c r="B13" s="18">
        <v>24000</v>
      </c>
      <c r="C13" s="18">
        <v>40000</v>
      </c>
      <c r="D13" s="18">
        <v>47000</v>
      </c>
      <c r="E13" s="21">
        <f>SUM(B13:D13)/3</f>
        <v>37000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28000</v>
      </c>
      <c r="C16" s="18">
        <v>45000</v>
      </c>
      <c r="D16" s="18">
        <v>52000</v>
      </c>
      <c r="E16" s="21">
        <f>SUM(B16:D16)/3</f>
        <v>41666.666666666664</v>
      </c>
    </row>
    <row r="17" spans="1:6" x14ac:dyDescent="0.5">
      <c r="A17" s="15" t="s">
        <v>19</v>
      </c>
      <c r="B17" s="18">
        <v>28000</v>
      </c>
      <c r="C17" s="18">
        <v>45000</v>
      </c>
      <c r="D17" s="18">
        <v>53000</v>
      </c>
      <c r="E17" s="21">
        <f>SUM(B17:D17)/3</f>
        <v>42000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17000</v>
      </c>
      <c r="C20" s="18">
        <v>27000</v>
      </c>
      <c r="D20" s="18">
        <v>32000</v>
      </c>
      <c r="E20" s="21">
        <f>SUM(B20:D20)/3</f>
        <v>25333.333333333332</v>
      </c>
    </row>
    <row r="21" spans="1:6" x14ac:dyDescent="0.5">
      <c r="A21" s="15" t="s">
        <v>22</v>
      </c>
      <c r="B21" s="18">
        <v>8500</v>
      </c>
      <c r="C21" s="18">
        <v>13000</v>
      </c>
      <c r="D21" s="18">
        <v>16000</v>
      </c>
      <c r="E21" s="21">
        <f>SUM(B21:D21)/3</f>
        <v>12500</v>
      </c>
    </row>
    <row r="22" spans="1:6" x14ac:dyDescent="0.5">
      <c r="A22" s="15" t="s">
        <v>23</v>
      </c>
      <c r="B22" s="18">
        <v>3000</v>
      </c>
      <c r="C22" s="18">
        <v>4500</v>
      </c>
      <c r="D22" s="18">
        <v>6000</v>
      </c>
      <c r="E22" s="21">
        <f>SUM(B22:D22)/3</f>
        <v>4500</v>
      </c>
      <c r="F22" s="28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276500</v>
      </c>
      <c r="C24" s="18">
        <f>SUM(C6:C22)</f>
        <v>448500</v>
      </c>
      <c r="D24" s="18">
        <f>SUM(D6:D22)</f>
        <v>526000</v>
      </c>
      <c r="E24" s="18">
        <f t="shared" ref="E24" si="0">SUM(E6:E22)</f>
        <v>417000</v>
      </c>
      <c r="F24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37</v>
      </c>
      <c r="B2" s="13" t="s">
        <v>38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160000</v>
      </c>
      <c r="C6" s="18">
        <v>262000</v>
      </c>
      <c r="D6" s="18">
        <v>304000</v>
      </c>
      <c r="E6" s="21">
        <f>SUM(B6:D6)/3</f>
        <v>242000</v>
      </c>
    </row>
    <row r="7" spans="1:5" x14ac:dyDescent="0.5">
      <c r="A7" s="15" t="s">
        <v>11</v>
      </c>
      <c r="B7" s="18">
        <v>119000</v>
      </c>
      <c r="C7" s="18">
        <v>194000</v>
      </c>
      <c r="D7" s="18">
        <v>228000</v>
      </c>
      <c r="E7" s="21">
        <f>SUM(B7:D7)/3</f>
        <v>180333.33333333334</v>
      </c>
    </row>
    <row r="8" spans="1:5" x14ac:dyDescent="0.5">
      <c r="A8" s="15" t="s">
        <v>12</v>
      </c>
      <c r="B8" s="18">
        <v>62000</v>
      </c>
      <c r="C8" s="18">
        <v>100000</v>
      </c>
      <c r="D8" s="18">
        <v>117000</v>
      </c>
      <c r="E8" s="21">
        <f>SUM(B8:D8)/3</f>
        <v>93000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41000</v>
      </c>
      <c r="C11" s="18">
        <v>66000</v>
      </c>
      <c r="D11" s="18">
        <v>78000</v>
      </c>
      <c r="E11" s="21">
        <f>SUM(B11:D11)/3</f>
        <v>61666.666666666664</v>
      </c>
    </row>
    <row r="12" spans="1:5" x14ac:dyDescent="0.5">
      <c r="A12" s="15" t="s">
        <v>15</v>
      </c>
      <c r="B12" s="18">
        <v>93000</v>
      </c>
      <c r="C12" s="18">
        <v>151000</v>
      </c>
      <c r="D12" s="18">
        <v>176000</v>
      </c>
      <c r="E12" s="21">
        <f>SUM(B12:D12)/3</f>
        <v>140000</v>
      </c>
    </row>
    <row r="13" spans="1:5" x14ac:dyDescent="0.5">
      <c r="A13" s="15" t="s">
        <v>16</v>
      </c>
      <c r="B13" s="18">
        <v>68000</v>
      </c>
      <c r="C13" s="18">
        <v>115000</v>
      </c>
      <c r="D13" s="18">
        <v>130000</v>
      </c>
      <c r="E13" s="21">
        <f>SUM(B13:D13)/3</f>
        <v>104333.33333333333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77000</v>
      </c>
      <c r="C16" s="18">
        <v>126000</v>
      </c>
      <c r="D16" s="18">
        <v>147000</v>
      </c>
      <c r="E16" s="21">
        <f>SUM(B16:D16)/3</f>
        <v>116666.66666666667</v>
      </c>
    </row>
    <row r="17" spans="1:6" x14ac:dyDescent="0.5">
      <c r="A17" s="15" t="s">
        <v>19</v>
      </c>
      <c r="B17" s="18">
        <v>78000</v>
      </c>
      <c r="C17" s="18">
        <v>126000</v>
      </c>
      <c r="D17" s="18">
        <v>147000</v>
      </c>
      <c r="E17" s="21">
        <f>SUM(B17:D17)/3</f>
        <v>117000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46000</v>
      </c>
      <c r="C20" s="18">
        <v>77000</v>
      </c>
      <c r="D20" s="18">
        <v>90000</v>
      </c>
      <c r="E20" s="21">
        <f>SUM(B20:D20)/3</f>
        <v>71000</v>
      </c>
    </row>
    <row r="21" spans="1:6" x14ac:dyDescent="0.5">
      <c r="A21" s="15" t="s">
        <v>22</v>
      </c>
      <c r="B21" s="18">
        <v>24000</v>
      </c>
      <c r="C21" s="18">
        <v>38000</v>
      </c>
      <c r="D21" s="18">
        <v>45000</v>
      </c>
      <c r="E21" s="21">
        <f>SUM(B21:D21)/3</f>
        <v>35666.666666666664</v>
      </c>
    </row>
    <row r="22" spans="1:6" x14ac:dyDescent="0.5">
      <c r="A22" s="15" t="s">
        <v>23</v>
      </c>
      <c r="B22" s="18">
        <v>8000</v>
      </c>
      <c r="C22" s="18">
        <v>13000</v>
      </c>
      <c r="D22" s="18">
        <v>15000</v>
      </c>
      <c r="E22" s="21">
        <f>SUM(B22:D22)/3</f>
        <v>12000</v>
      </c>
      <c r="F22" s="28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776000</v>
      </c>
      <c r="C24" s="18">
        <f>SUM(C6:C22)</f>
        <v>1268000</v>
      </c>
      <c r="D24" s="18">
        <f>SUM(D6:D22)</f>
        <v>1477000</v>
      </c>
      <c r="E24" s="18">
        <f t="shared" ref="E24" si="0">SUM(E6:E22)</f>
        <v>1173666.6666666667</v>
      </c>
      <c r="F24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6.87890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39</v>
      </c>
      <c r="B2" s="13" t="s">
        <v>40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186000</v>
      </c>
      <c r="C6" s="18">
        <v>303000</v>
      </c>
      <c r="D6" s="18">
        <v>357000</v>
      </c>
      <c r="E6" s="21">
        <f>SUM(B6:D6)/3</f>
        <v>282000</v>
      </c>
    </row>
    <row r="7" spans="1:5" x14ac:dyDescent="0.5">
      <c r="A7" s="15" t="s">
        <v>11</v>
      </c>
      <c r="B7" s="18">
        <v>138000</v>
      </c>
      <c r="C7" s="18">
        <v>226000</v>
      </c>
      <c r="D7" s="18">
        <v>263000</v>
      </c>
      <c r="E7" s="21">
        <f>SUM(B7:D7)/3</f>
        <v>209000</v>
      </c>
    </row>
    <row r="8" spans="1:5" x14ac:dyDescent="0.5">
      <c r="A8" s="15" t="s">
        <v>12</v>
      </c>
      <c r="B8" s="18">
        <v>71000</v>
      </c>
      <c r="C8" s="18">
        <v>116000</v>
      </c>
      <c r="D8" s="18">
        <v>136000</v>
      </c>
      <c r="E8" s="21">
        <f>SUM(B8:D8)/3</f>
        <v>107666.66666666667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47000</v>
      </c>
      <c r="C11" s="18">
        <v>77000</v>
      </c>
      <c r="D11" s="18">
        <v>90000</v>
      </c>
      <c r="E11" s="21">
        <f>SUM(B11:D11)/3</f>
        <v>71333.333333333328</v>
      </c>
    </row>
    <row r="12" spans="1:5" x14ac:dyDescent="0.5">
      <c r="A12" s="15" t="s">
        <v>15</v>
      </c>
      <c r="B12" s="18">
        <v>107000</v>
      </c>
      <c r="C12" s="18">
        <v>175000</v>
      </c>
      <c r="D12" s="18">
        <v>205000</v>
      </c>
      <c r="E12" s="21">
        <f>SUM(B12:D12)/3</f>
        <v>162333.33333333334</v>
      </c>
    </row>
    <row r="13" spans="1:5" x14ac:dyDescent="0.5">
      <c r="A13" s="15" t="s">
        <v>16</v>
      </c>
      <c r="B13" s="18">
        <v>80000</v>
      </c>
      <c r="C13" s="18">
        <v>130000</v>
      </c>
      <c r="D13" s="18">
        <v>151000</v>
      </c>
      <c r="E13" s="21">
        <f>SUM(B13:D13)/3</f>
        <v>120333.33333333333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90000</v>
      </c>
      <c r="C16" s="18">
        <v>147000</v>
      </c>
      <c r="D16" s="18">
        <v>171000</v>
      </c>
      <c r="E16" s="21">
        <f>SUM(B16:D16)/3</f>
        <v>136000</v>
      </c>
    </row>
    <row r="17" spans="1:6" x14ac:dyDescent="0.5">
      <c r="A17" s="15" t="s">
        <v>19</v>
      </c>
      <c r="B17" s="18">
        <v>90000</v>
      </c>
      <c r="C17" s="18">
        <v>147000</v>
      </c>
      <c r="D17" s="18">
        <v>171000</v>
      </c>
      <c r="E17" s="21">
        <f>SUM(B17:D17)/3</f>
        <v>136000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54000</v>
      </c>
      <c r="C20" s="18">
        <v>88000</v>
      </c>
      <c r="D20" s="18">
        <v>104000</v>
      </c>
      <c r="E20" s="21">
        <f>SUM(B20:D20)/3</f>
        <v>82000</v>
      </c>
    </row>
    <row r="21" spans="1:6" x14ac:dyDescent="0.5">
      <c r="A21" s="15" t="s">
        <v>22</v>
      </c>
      <c r="B21" s="18">
        <v>27000</v>
      </c>
      <c r="C21" s="18">
        <v>44000</v>
      </c>
      <c r="D21" s="18">
        <v>52000</v>
      </c>
      <c r="E21" s="21">
        <f>SUM(B21:D21)/3</f>
        <v>41000</v>
      </c>
      <c r="F21" s="28"/>
    </row>
    <row r="22" spans="1:6" x14ac:dyDescent="0.5">
      <c r="A22" s="15" t="s">
        <v>23</v>
      </c>
      <c r="B22" s="18">
        <v>9000</v>
      </c>
      <c r="C22" s="18">
        <v>15000</v>
      </c>
      <c r="D22" s="18">
        <v>17000</v>
      </c>
      <c r="E22" s="21">
        <f>SUM(B22:D22)/3</f>
        <v>13666.666666666666</v>
      </c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899000</v>
      </c>
      <c r="C24" s="18">
        <f>SUM(C6:C22)</f>
        <v>1468000</v>
      </c>
      <c r="D24" s="18">
        <f>SUM(D6:D22)</f>
        <v>1717000</v>
      </c>
      <c r="E24" s="18">
        <f t="shared" ref="E24" si="0">SUM(E6:E22)</f>
        <v>1361333.3333333335</v>
      </c>
      <c r="F24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117187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41</v>
      </c>
      <c r="B2" s="13" t="s">
        <v>42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136000</v>
      </c>
      <c r="C6" s="18">
        <v>223000</v>
      </c>
      <c r="D6" s="18">
        <v>261000</v>
      </c>
      <c r="E6" s="21">
        <f>SUM(B6:D6)/3</f>
        <v>206666.66666666666</v>
      </c>
    </row>
    <row r="7" spans="1:5" x14ac:dyDescent="0.5">
      <c r="A7" s="15" t="s">
        <v>11</v>
      </c>
      <c r="B7" s="18">
        <v>102000</v>
      </c>
      <c r="C7" s="18">
        <v>166000</v>
      </c>
      <c r="D7" s="18">
        <v>193000</v>
      </c>
      <c r="E7" s="21">
        <f>SUM(B7:D7)/3</f>
        <v>153666.66666666666</v>
      </c>
    </row>
    <row r="8" spans="1:5" x14ac:dyDescent="0.5">
      <c r="A8" s="15" t="s">
        <v>12</v>
      </c>
      <c r="B8" s="18">
        <v>53000</v>
      </c>
      <c r="C8" s="18">
        <v>85000</v>
      </c>
      <c r="D8" s="18">
        <v>100000</v>
      </c>
      <c r="E8" s="21">
        <f>SUM(B8:D8)/3</f>
        <v>79333.333333333328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34000</v>
      </c>
      <c r="C11" s="18">
        <v>56000</v>
      </c>
      <c r="D11" s="18">
        <v>66000</v>
      </c>
      <c r="E11" s="21">
        <f>SUM(B11:D11)/3</f>
        <v>52000</v>
      </c>
    </row>
    <row r="12" spans="1:5" x14ac:dyDescent="0.5">
      <c r="A12" s="15" t="s">
        <v>15</v>
      </c>
      <c r="B12" s="18">
        <v>80000</v>
      </c>
      <c r="C12" s="18">
        <v>129000</v>
      </c>
      <c r="D12" s="18">
        <v>151000</v>
      </c>
      <c r="E12" s="21">
        <f>SUM(B12:D12)/3</f>
        <v>120000</v>
      </c>
    </row>
    <row r="13" spans="1:5" x14ac:dyDescent="0.5">
      <c r="A13" s="15" t="s">
        <v>16</v>
      </c>
      <c r="B13" s="18">
        <v>58000</v>
      </c>
      <c r="C13" s="18">
        <v>95000</v>
      </c>
      <c r="D13" s="18">
        <v>113000</v>
      </c>
      <c r="E13" s="21">
        <f>SUM(B13:D13)/3</f>
        <v>88666.666666666672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66000</v>
      </c>
      <c r="C16" s="18">
        <v>108000</v>
      </c>
      <c r="D16" s="18">
        <v>126000</v>
      </c>
      <c r="E16" s="21">
        <f>SUM(B16:D16)/3</f>
        <v>100000</v>
      </c>
    </row>
    <row r="17" spans="1:6" x14ac:dyDescent="0.5">
      <c r="A17" s="15" t="s">
        <v>19</v>
      </c>
      <c r="B17" s="18">
        <v>66000</v>
      </c>
      <c r="C17" s="18">
        <v>108000</v>
      </c>
      <c r="D17" s="18">
        <v>126000</v>
      </c>
      <c r="E17" s="21">
        <f>SUM(B17:D17)/3</f>
        <v>100000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40000</v>
      </c>
      <c r="C20" s="18">
        <v>65000</v>
      </c>
      <c r="D20" s="18">
        <v>75000</v>
      </c>
      <c r="E20" s="21">
        <f>SUM(B20:D20)/3</f>
        <v>60000</v>
      </c>
    </row>
    <row r="21" spans="1:6" x14ac:dyDescent="0.5">
      <c r="A21" s="15" t="s">
        <v>22</v>
      </c>
      <c r="B21" s="18">
        <v>20000</v>
      </c>
      <c r="C21" s="18">
        <v>33000</v>
      </c>
      <c r="D21" s="18">
        <v>38000</v>
      </c>
      <c r="E21" s="21">
        <f>SUM(B21:D21)/3</f>
        <v>30333.333333333332</v>
      </c>
    </row>
    <row r="22" spans="1:6" x14ac:dyDescent="0.5">
      <c r="A22" s="15" t="s">
        <v>23</v>
      </c>
      <c r="B22" s="18">
        <v>6700</v>
      </c>
      <c r="C22" s="18">
        <v>11000</v>
      </c>
      <c r="D22" s="18">
        <v>13000</v>
      </c>
      <c r="E22" s="21">
        <f>SUM(B22:D22)/3</f>
        <v>10233.333333333334</v>
      </c>
      <c r="F22" s="28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661700</v>
      </c>
      <c r="C24" s="18">
        <f>SUM(C6:C22)</f>
        <v>1079000</v>
      </c>
      <c r="D24" s="18">
        <f>SUM(D6:D22)</f>
        <v>1262000</v>
      </c>
      <c r="E24" s="18">
        <f t="shared" ref="E24" si="0">SUM(E6:E22)</f>
        <v>1000900</v>
      </c>
      <c r="F24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117187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43</v>
      </c>
      <c r="B2" s="13" t="s">
        <v>44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281000</v>
      </c>
      <c r="C6" s="18">
        <v>459000</v>
      </c>
      <c r="D6" s="18">
        <v>533000</v>
      </c>
      <c r="E6" s="21">
        <f>SUM(B6:D6)/3</f>
        <v>424333.33333333331</v>
      </c>
    </row>
    <row r="7" spans="1:5" x14ac:dyDescent="0.5">
      <c r="A7" s="15" t="s">
        <v>11</v>
      </c>
      <c r="B7" s="18">
        <v>210000</v>
      </c>
      <c r="C7" s="18">
        <v>342000</v>
      </c>
      <c r="D7" s="18">
        <v>398000</v>
      </c>
      <c r="E7" s="21">
        <f>SUM(B7:D7)/3</f>
        <v>316666.66666666669</v>
      </c>
    </row>
    <row r="8" spans="1:5" x14ac:dyDescent="0.5">
      <c r="A8" s="15" t="s">
        <v>12</v>
      </c>
      <c r="B8" s="18">
        <v>108000</v>
      </c>
      <c r="C8" s="18">
        <v>176000</v>
      </c>
      <c r="D8" s="18">
        <v>207000</v>
      </c>
      <c r="E8" s="21">
        <f>SUM(B8:D8)/3</f>
        <v>163666.66666666666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71000</v>
      </c>
      <c r="C11" s="18">
        <v>117000</v>
      </c>
      <c r="D11" s="18">
        <v>135000</v>
      </c>
      <c r="E11" s="21">
        <f>SUM(B11:D11)/3</f>
        <v>107666.66666666667</v>
      </c>
    </row>
    <row r="12" spans="1:5" x14ac:dyDescent="0.5">
      <c r="A12" s="15" t="s">
        <v>15</v>
      </c>
      <c r="B12" s="18">
        <v>163000</v>
      </c>
      <c r="C12" s="18">
        <v>266000</v>
      </c>
      <c r="D12" s="18">
        <v>309000</v>
      </c>
      <c r="E12" s="21">
        <f>SUM(B12:D12)/3</f>
        <v>246000</v>
      </c>
    </row>
    <row r="13" spans="1:5" x14ac:dyDescent="0.5">
      <c r="A13" s="15" t="s">
        <v>16</v>
      </c>
      <c r="B13" s="18">
        <v>122000</v>
      </c>
      <c r="C13" s="18">
        <v>197000</v>
      </c>
      <c r="D13" s="18">
        <v>229000</v>
      </c>
      <c r="E13" s="21">
        <f>SUM(B13:D13)/3</f>
        <v>182666.66666666666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136000</v>
      </c>
      <c r="C16" s="18">
        <v>222000</v>
      </c>
      <c r="D16" s="18">
        <v>259000</v>
      </c>
      <c r="E16" s="21">
        <f>SUM(B16:D16)/3</f>
        <v>205666.66666666666</v>
      </c>
    </row>
    <row r="17" spans="1:6" x14ac:dyDescent="0.5">
      <c r="A17" s="15" t="s">
        <v>19</v>
      </c>
      <c r="B17" s="18">
        <v>136000</v>
      </c>
      <c r="C17" s="18">
        <v>221000</v>
      </c>
      <c r="D17" s="18">
        <v>258000</v>
      </c>
      <c r="E17" s="21">
        <f>SUM(B17:D17)/3</f>
        <v>205000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136000</v>
      </c>
      <c r="C20" s="18">
        <v>134000</v>
      </c>
      <c r="D20" s="18">
        <v>156000</v>
      </c>
      <c r="E20" s="21">
        <f>SUM(B20:D20)/3</f>
        <v>142000</v>
      </c>
    </row>
    <row r="21" spans="1:6" x14ac:dyDescent="0.5">
      <c r="A21" s="15" t="s">
        <v>22</v>
      </c>
      <c r="B21" s="18">
        <v>42000</v>
      </c>
      <c r="C21" s="18">
        <v>67000</v>
      </c>
      <c r="D21" s="18">
        <v>79000</v>
      </c>
      <c r="E21" s="21">
        <f>SUM(B21:D21)/3</f>
        <v>62666.666666666664</v>
      </c>
    </row>
    <row r="22" spans="1:6" x14ac:dyDescent="0.5">
      <c r="A22" s="15" t="s">
        <v>23</v>
      </c>
      <c r="B22" s="18">
        <v>14000</v>
      </c>
      <c r="C22" s="18">
        <v>23000</v>
      </c>
      <c r="D22" s="18">
        <v>27000</v>
      </c>
      <c r="E22" s="21">
        <f>SUM(B22:D22)/3</f>
        <v>21333.333333333332</v>
      </c>
      <c r="F22" s="28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1419000</v>
      </c>
      <c r="C24" s="18">
        <f>SUM(C6:C22)</f>
        <v>2224000</v>
      </c>
      <c r="D24" s="18">
        <f>SUM(D6:D22)</f>
        <v>2590000</v>
      </c>
      <c r="E24" s="18">
        <f t="shared" ref="E24" si="0">SUM(E6:E22)</f>
        <v>2077666.6666666667</v>
      </c>
      <c r="F24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585937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45</v>
      </c>
      <c r="B2" s="13" t="s">
        <v>46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183000</v>
      </c>
      <c r="C6" s="18">
        <v>299000</v>
      </c>
      <c r="D6" s="18">
        <v>349000</v>
      </c>
      <c r="E6" s="21">
        <f>SUM(B6:D6)/3</f>
        <v>277000</v>
      </c>
    </row>
    <row r="7" spans="1:5" x14ac:dyDescent="0.5">
      <c r="A7" s="15" t="s">
        <v>11</v>
      </c>
      <c r="B7" s="18">
        <v>136000</v>
      </c>
      <c r="C7" s="18">
        <v>223000</v>
      </c>
      <c r="D7" s="18">
        <v>260000</v>
      </c>
      <c r="E7" s="21">
        <f>SUM(B7:D7)/3</f>
        <v>206333.33333333334</v>
      </c>
    </row>
    <row r="8" spans="1:5" x14ac:dyDescent="0.5">
      <c r="A8" s="15" t="s">
        <v>12</v>
      </c>
      <c r="B8" s="18">
        <v>70000</v>
      </c>
      <c r="C8" s="18">
        <v>115000</v>
      </c>
      <c r="D8" s="18">
        <v>135000</v>
      </c>
      <c r="E8" s="21">
        <f>SUM(B8:D8)/3</f>
        <v>106666.66666666667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46000</v>
      </c>
      <c r="C11" s="18">
        <v>75000</v>
      </c>
      <c r="D11" s="18">
        <v>88000</v>
      </c>
      <c r="E11" s="21">
        <f>SUM(B11:D11)/3</f>
        <v>69666.666666666672</v>
      </c>
    </row>
    <row r="12" spans="1:5" x14ac:dyDescent="0.5">
      <c r="A12" s="15" t="s">
        <v>15</v>
      </c>
      <c r="B12" s="18">
        <v>106000</v>
      </c>
      <c r="C12" s="18">
        <v>173000</v>
      </c>
      <c r="D12" s="18">
        <v>201000</v>
      </c>
      <c r="E12" s="21">
        <f>SUM(B12:D12)/3</f>
        <v>160000</v>
      </c>
    </row>
    <row r="13" spans="1:5" x14ac:dyDescent="0.5">
      <c r="A13" s="15" t="s">
        <v>16</v>
      </c>
      <c r="B13" s="18">
        <v>78000</v>
      </c>
      <c r="C13" s="18">
        <v>127000</v>
      </c>
      <c r="D13" s="18">
        <v>149000</v>
      </c>
      <c r="E13" s="21">
        <f>SUM(B13:D13)/3</f>
        <v>118000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88000</v>
      </c>
      <c r="C16" s="18">
        <v>144000</v>
      </c>
      <c r="D16" s="18">
        <v>168000</v>
      </c>
      <c r="E16" s="21">
        <f>SUM(B16:D16)/3</f>
        <v>133333.33333333334</v>
      </c>
    </row>
    <row r="17" spans="1:6" x14ac:dyDescent="0.5">
      <c r="A17" s="15" t="s">
        <v>19</v>
      </c>
      <c r="B17" s="18">
        <v>88000</v>
      </c>
      <c r="C17" s="18">
        <v>144000</v>
      </c>
      <c r="D17" s="18">
        <v>168000</v>
      </c>
      <c r="E17" s="21">
        <f>SUM(B17:D17)/3</f>
        <v>133333.33333333334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53000</v>
      </c>
      <c r="C20" s="18">
        <v>86000</v>
      </c>
      <c r="D20" s="18">
        <v>101000</v>
      </c>
      <c r="E20" s="21">
        <f>SUM(B20:D20)/3</f>
        <v>80000</v>
      </c>
    </row>
    <row r="21" spans="1:6" x14ac:dyDescent="0.5">
      <c r="A21" s="15" t="s">
        <v>22</v>
      </c>
      <c r="B21" s="18">
        <v>27000</v>
      </c>
      <c r="C21" s="18">
        <v>43000</v>
      </c>
      <c r="D21" s="18">
        <v>51000</v>
      </c>
      <c r="E21" s="21">
        <f>SUM(B21:D21)/3</f>
        <v>40333.333333333336</v>
      </c>
    </row>
    <row r="22" spans="1:6" x14ac:dyDescent="0.5">
      <c r="A22" s="15" t="s">
        <v>23</v>
      </c>
      <c r="B22" s="18">
        <v>9000</v>
      </c>
      <c r="C22" s="18">
        <v>15000</v>
      </c>
      <c r="D22" s="18">
        <v>51000</v>
      </c>
      <c r="E22" s="21">
        <f>SUM(B22:D22)/3</f>
        <v>25000</v>
      </c>
      <c r="F22" s="28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884000</v>
      </c>
      <c r="C24" s="18">
        <f>SUM(C6:C22)</f>
        <v>1444000</v>
      </c>
      <c r="D24" s="18">
        <f>SUM(D6:D22)</f>
        <v>1721000</v>
      </c>
      <c r="E24" s="18">
        <f t="shared" ref="E24" si="0">SUM(E6:E22)</f>
        <v>1349666.6666666665</v>
      </c>
      <c r="F24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2929687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47</v>
      </c>
      <c r="B2" s="13" t="s">
        <v>48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258000</v>
      </c>
      <c r="C6" s="18">
        <v>421000</v>
      </c>
      <c r="D6" s="18">
        <v>492000</v>
      </c>
      <c r="E6" s="21">
        <f>SUM(B6:D6)/3</f>
        <v>390333.33333333331</v>
      </c>
    </row>
    <row r="7" spans="1:5" x14ac:dyDescent="0.5">
      <c r="A7" s="15" t="s">
        <v>11</v>
      </c>
      <c r="B7" s="18">
        <v>192000</v>
      </c>
      <c r="C7" s="18">
        <v>317000</v>
      </c>
      <c r="D7" s="18">
        <v>366000</v>
      </c>
      <c r="E7" s="21">
        <f>SUM(B7:D7)/3</f>
        <v>291666.66666666669</v>
      </c>
    </row>
    <row r="8" spans="1:5" x14ac:dyDescent="0.5">
      <c r="A8" s="15" t="s">
        <v>12</v>
      </c>
      <c r="B8" s="18">
        <v>100000</v>
      </c>
      <c r="C8" s="18">
        <v>162000</v>
      </c>
      <c r="D8" s="18">
        <v>192000</v>
      </c>
      <c r="E8" s="21">
        <f>SUM(B8:D8)/3</f>
        <v>151333.33333333334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66000</v>
      </c>
      <c r="C11" s="18">
        <v>108000</v>
      </c>
      <c r="D11" s="18">
        <v>125000</v>
      </c>
      <c r="E11" s="21">
        <f>SUM(B11:D11)/3</f>
        <v>99666.666666666672</v>
      </c>
    </row>
    <row r="12" spans="1:5" x14ac:dyDescent="0.5">
      <c r="A12" s="15" t="s">
        <v>15</v>
      </c>
      <c r="B12" s="18">
        <v>153000</v>
      </c>
      <c r="C12" s="18">
        <v>245000</v>
      </c>
      <c r="D12" s="18">
        <v>285000</v>
      </c>
      <c r="E12" s="21">
        <f>SUM(B12:D12)/3</f>
        <v>227666.66666666666</v>
      </c>
    </row>
    <row r="13" spans="1:5" x14ac:dyDescent="0.5">
      <c r="A13" s="15" t="s">
        <v>16</v>
      </c>
      <c r="B13" s="18">
        <v>112000</v>
      </c>
      <c r="C13" s="18">
        <v>184000</v>
      </c>
      <c r="D13" s="18">
        <v>211000</v>
      </c>
      <c r="E13" s="21">
        <f>SUM(B13:D13)/3</f>
        <v>169000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128000</v>
      </c>
      <c r="C16" s="18">
        <v>209000</v>
      </c>
      <c r="D16" s="18">
        <v>240000</v>
      </c>
      <c r="E16" s="21">
        <f>SUM(B16:D16)/3</f>
        <v>192333.33333333334</v>
      </c>
    </row>
    <row r="17" spans="1:6" x14ac:dyDescent="0.5">
      <c r="A17" s="15" t="s">
        <v>19</v>
      </c>
      <c r="B17" s="18">
        <v>128000</v>
      </c>
      <c r="C17" s="18">
        <v>208000</v>
      </c>
      <c r="D17" s="18">
        <v>239000</v>
      </c>
      <c r="E17" s="21">
        <f>SUM(B17:D17)/3</f>
        <v>191666.66666666666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76000</v>
      </c>
      <c r="C20" s="18">
        <v>122000</v>
      </c>
      <c r="D20" s="18">
        <v>144000</v>
      </c>
      <c r="E20" s="21">
        <f>SUM(B20:D20)/3</f>
        <v>114000</v>
      </c>
    </row>
    <row r="21" spans="1:6" x14ac:dyDescent="0.5">
      <c r="A21" s="15" t="s">
        <v>22</v>
      </c>
      <c r="B21" s="18">
        <v>39000</v>
      </c>
      <c r="C21" s="18">
        <v>63000</v>
      </c>
      <c r="D21" s="18">
        <v>74000</v>
      </c>
      <c r="E21" s="21">
        <f>SUM(B21:D21)/3</f>
        <v>58666.666666666664</v>
      </c>
    </row>
    <row r="22" spans="1:6" x14ac:dyDescent="0.5">
      <c r="A22" s="15" t="s">
        <v>23</v>
      </c>
      <c r="B22" s="18">
        <v>13000</v>
      </c>
      <c r="C22" s="18">
        <v>21000</v>
      </c>
      <c r="D22" s="18">
        <v>24000</v>
      </c>
      <c r="E22" s="21">
        <f>SUM(B22:D22)/3</f>
        <v>19333.333333333332</v>
      </c>
      <c r="F22" s="28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1265000</v>
      </c>
      <c r="C24" s="18">
        <f>SUM(C6:C22)</f>
        <v>2060000</v>
      </c>
      <c r="D24" s="18">
        <f>SUM(D6:D22)</f>
        <v>2392000</v>
      </c>
      <c r="E24" s="18">
        <f t="shared" ref="E24" si="0">SUM(E6:E22)</f>
        <v>1905666.6666666667</v>
      </c>
      <c r="F24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6.87890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49</v>
      </c>
      <c r="B2" s="13" t="s">
        <v>50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282000</v>
      </c>
      <c r="C6" s="18">
        <v>462000</v>
      </c>
      <c r="D6" s="18">
        <v>540000</v>
      </c>
      <c r="E6" s="21">
        <f>SUM(B6:D6)/3</f>
        <v>428000</v>
      </c>
    </row>
    <row r="7" spans="1:5" x14ac:dyDescent="0.5">
      <c r="A7" s="15" t="s">
        <v>11</v>
      </c>
      <c r="B7" s="18">
        <v>212000</v>
      </c>
      <c r="C7" s="18">
        <v>344000</v>
      </c>
      <c r="D7" s="18">
        <v>402000</v>
      </c>
      <c r="E7" s="21">
        <f>SUM(B7:D7)/3</f>
        <v>319333.33333333331</v>
      </c>
    </row>
    <row r="8" spans="1:5" x14ac:dyDescent="0.5">
      <c r="A8" s="15" t="s">
        <v>12</v>
      </c>
      <c r="B8" s="18">
        <v>108000</v>
      </c>
      <c r="C8" s="18">
        <v>177000</v>
      </c>
      <c r="D8" s="18">
        <v>207000</v>
      </c>
      <c r="E8" s="21">
        <f>SUM(B8:D8)/3</f>
        <v>164000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72000</v>
      </c>
      <c r="C11" s="18">
        <v>117000</v>
      </c>
      <c r="D11" s="18">
        <v>136000</v>
      </c>
      <c r="E11" s="21">
        <f>SUM(B11:D11)/3</f>
        <v>108333.33333333333</v>
      </c>
    </row>
    <row r="12" spans="1:5" x14ac:dyDescent="0.5">
      <c r="A12" s="15" t="s">
        <v>15</v>
      </c>
      <c r="B12" s="18">
        <v>164000</v>
      </c>
      <c r="C12" s="18">
        <v>268000</v>
      </c>
      <c r="D12" s="18">
        <v>312000</v>
      </c>
      <c r="E12" s="21">
        <f>SUM(B12:D12)/3</f>
        <v>248000</v>
      </c>
    </row>
    <row r="13" spans="1:5" x14ac:dyDescent="0.5">
      <c r="A13" s="15" t="s">
        <v>16</v>
      </c>
      <c r="B13" s="18">
        <v>122000</v>
      </c>
      <c r="C13" s="18">
        <v>199000</v>
      </c>
      <c r="D13" s="18">
        <v>231000</v>
      </c>
      <c r="E13" s="21">
        <f>SUM(B13:D13)/3</f>
        <v>184000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138000</v>
      </c>
      <c r="C16" s="18">
        <v>224000</v>
      </c>
      <c r="D16" s="18">
        <v>260000</v>
      </c>
      <c r="E16" s="21">
        <f>SUM(B16:D16)/3</f>
        <v>207333.33333333334</v>
      </c>
    </row>
    <row r="17" spans="1:6" x14ac:dyDescent="0.5">
      <c r="A17" s="15" t="s">
        <v>19</v>
      </c>
      <c r="B17" s="18">
        <v>137000</v>
      </c>
      <c r="C17" s="18">
        <v>224000</v>
      </c>
      <c r="D17" s="18">
        <v>261000</v>
      </c>
      <c r="E17" s="21">
        <f>SUM(B17:D17)/3</f>
        <v>207333.33333333334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83000</v>
      </c>
      <c r="C20" s="18">
        <v>134000</v>
      </c>
      <c r="D20" s="18">
        <v>157000</v>
      </c>
      <c r="E20" s="21">
        <f>SUM(B20:D20)/3</f>
        <v>124666.66666666667</v>
      </c>
    </row>
    <row r="21" spans="1:6" x14ac:dyDescent="0.5">
      <c r="A21" s="15" t="s">
        <v>22</v>
      </c>
      <c r="B21" s="18">
        <v>42000</v>
      </c>
      <c r="C21" s="18">
        <v>67000</v>
      </c>
      <c r="D21" s="18">
        <v>79000</v>
      </c>
      <c r="E21" s="21">
        <f>SUM(B21:D21)/3</f>
        <v>62666.666666666664</v>
      </c>
    </row>
    <row r="22" spans="1:6" x14ac:dyDescent="0.5">
      <c r="A22" s="15" t="s">
        <v>23</v>
      </c>
      <c r="B22" s="18">
        <v>14000</v>
      </c>
      <c r="C22" s="18">
        <v>23000</v>
      </c>
      <c r="D22" s="18">
        <v>26000</v>
      </c>
      <c r="E22" s="21">
        <f>SUM(B22:D22)/3</f>
        <v>21000</v>
      </c>
      <c r="F22" s="29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1374000</v>
      </c>
      <c r="C24" s="18">
        <f>SUM(C6:C22)</f>
        <v>2239000</v>
      </c>
      <c r="D24" s="18">
        <f>SUM(D6:D22)</f>
        <v>2611000</v>
      </c>
      <c r="E24" s="18">
        <f t="shared" ref="E24" si="0">SUM(E6:E22)</f>
        <v>2074666.6666666665</v>
      </c>
      <c r="F24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87890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51</v>
      </c>
      <c r="B2" s="13" t="s">
        <v>52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833000</v>
      </c>
      <c r="C6" s="18">
        <v>1371000</v>
      </c>
      <c r="D6" s="18">
        <v>1595000</v>
      </c>
      <c r="E6" s="21">
        <v>1600000</v>
      </c>
    </row>
    <row r="7" spans="1:5" x14ac:dyDescent="0.5">
      <c r="A7" s="15" t="s">
        <v>11</v>
      </c>
      <c r="B7" s="18">
        <v>627000</v>
      </c>
      <c r="C7" s="18">
        <v>1018000</v>
      </c>
      <c r="D7" s="18">
        <v>1180000</v>
      </c>
      <c r="E7" s="21">
        <v>1180000</v>
      </c>
    </row>
    <row r="8" spans="1:5" x14ac:dyDescent="0.5">
      <c r="A8" s="15" t="s">
        <v>12</v>
      </c>
      <c r="B8" s="18">
        <v>331000</v>
      </c>
      <c r="C8" s="18">
        <v>533000</v>
      </c>
      <c r="D8" s="18">
        <v>610000</v>
      </c>
      <c r="E8" s="21">
        <v>610000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217000</v>
      </c>
      <c r="C11" s="18">
        <v>352000</v>
      </c>
      <c r="D11" s="18">
        <v>402000</v>
      </c>
      <c r="E11" s="21">
        <f>SUM(B11:D11)/3</f>
        <v>323666.66666666669</v>
      </c>
    </row>
    <row r="12" spans="1:5" x14ac:dyDescent="0.5">
      <c r="A12" s="15" t="s">
        <v>15</v>
      </c>
      <c r="B12" s="18">
        <v>488000</v>
      </c>
      <c r="C12" s="18">
        <v>794000</v>
      </c>
      <c r="D12" s="18">
        <v>935000</v>
      </c>
      <c r="E12" s="21">
        <f>SUM(B12:D12)/3</f>
        <v>739000</v>
      </c>
    </row>
    <row r="13" spans="1:5" x14ac:dyDescent="0.5">
      <c r="A13" s="15" t="s">
        <v>16</v>
      </c>
      <c r="B13" s="18">
        <v>356000</v>
      </c>
      <c r="C13" s="18">
        <v>592000</v>
      </c>
      <c r="D13" s="18">
        <v>679000</v>
      </c>
      <c r="E13" s="21">
        <f>SUM(B13:D13)/3</f>
        <v>542333.33333333337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408000</v>
      </c>
      <c r="C16" s="18">
        <v>659000</v>
      </c>
      <c r="D16" s="18">
        <v>777000</v>
      </c>
      <c r="E16" s="21">
        <f>SUM(B16:D16)/3</f>
        <v>614666.66666666663</v>
      </c>
    </row>
    <row r="17" spans="1:6" x14ac:dyDescent="0.5">
      <c r="A17" s="15" t="s">
        <v>19</v>
      </c>
      <c r="B17" s="18">
        <v>404000</v>
      </c>
      <c r="C17" s="18">
        <v>662000</v>
      </c>
      <c r="D17" s="18">
        <v>772000</v>
      </c>
      <c r="E17" s="21">
        <f>SUM(B17:D17)/3</f>
        <v>612666.66666666663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244000</v>
      </c>
      <c r="C20" s="18">
        <v>399000</v>
      </c>
      <c r="D20" s="18">
        <v>463000</v>
      </c>
      <c r="E20" s="21">
        <f>SUM(B20:D20)/3</f>
        <v>368666.66666666669</v>
      </c>
    </row>
    <row r="21" spans="1:6" x14ac:dyDescent="0.5">
      <c r="A21" s="15" t="s">
        <v>22</v>
      </c>
      <c r="B21" s="18">
        <v>122000</v>
      </c>
      <c r="C21" s="18">
        <v>204000</v>
      </c>
      <c r="D21" s="18">
        <v>235000</v>
      </c>
      <c r="E21" s="21">
        <f>SUM(B21:D21)/3</f>
        <v>187000</v>
      </c>
    </row>
    <row r="22" spans="1:6" x14ac:dyDescent="0.5">
      <c r="A22" s="15" t="s">
        <v>23</v>
      </c>
      <c r="B22" s="18">
        <v>40000</v>
      </c>
      <c r="C22" s="18">
        <v>67000</v>
      </c>
      <c r="D22" s="18">
        <v>78000</v>
      </c>
      <c r="E22" s="21">
        <f>SUM(B22:D22)/3</f>
        <v>61666.666666666664</v>
      </c>
      <c r="F22" s="28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4070000</v>
      </c>
      <c r="C24" s="18">
        <f>SUM(C6:C22)</f>
        <v>6651000</v>
      </c>
      <c r="D24" s="18">
        <f>SUM(D6:D22)</f>
        <v>7726000</v>
      </c>
      <c r="E24" s="18">
        <f t="shared" ref="E24" si="0">SUM(E6:E22)</f>
        <v>6839666.666666667</v>
      </c>
      <c r="F24" s="1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8.1171875" customWidth="1"/>
  </cols>
  <sheetData>
    <row r="1" spans="1:13" x14ac:dyDescent="0.5">
      <c r="A1" s="5" t="s">
        <v>0</v>
      </c>
      <c r="B1" s="5" t="s">
        <v>1</v>
      </c>
    </row>
    <row r="2" spans="1:13" ht="14.7" thickBot="1" x14ac:dyDescent="0.55000000000000004">
      <c r="A2" s="12" t="s">
        <v>53</v>
      </c>
      <c r="B2" s="13" t="s">
        <v>54</v>
      </c>
    </row>
    <row r="3" spans="1:13" x14ac:dyDescent="0.5">
      <c r="A3" s="8"/>
      <c r="B3" s="9"/>
    </row>
    <row r="4" spans="1:13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13" x14ac:dyDescent="0.5">
      <c r="A5" s="1" t="s">
        <v>9</v>
      </c>
      <c r="B5" s="2"/>
      <c r="C5" s="2"/>
      <c r="D5" s="2"/>
      <c r="E5" s="2"/>
    </row>
    <row r="6" spans="1:13" x14ac:dyDescent="0.5">
      <c r="A6" s="15" t="s">
        <v>10</v>
      </c>
      <c r="B6" s="18">
        <v>271000</v>
      </c>
      <c r="C6" s="18">
        <v>442000</v>
      </c>
      <c r="D6" s="18">
        <v>516000</v>
      </c>
      <c r="E6" s="21">
        <f>SUM(B6:D6)/3</f>
        <v>409666.66666666669</v>
      </c>
      <c r="F6" s="14"/>
      <c r="G6" s="14"/>
      <c r="H6" s="14"/>
      <c r="I6" s="14"/>
      <c r="J6" s="14"/>
      <c r="K6" s="14"/>
      <c r="L6" s="14"/>
      <c r="M6" s="14"/>
    </row>
    <row r="7" spans="1:13" x14ac:dyDescent="0.5">
      <c r="A7" s="15" t="s">
        <v>11</v>
      </c>
      <c r="B7" s="18">
        <v>202000</v>
      </c>
      <c r="C7" s="18">
        <v>334000</v>
      </c>
      <c r="D7" s="18">
        <v>390000</v>
      </c>
      <c r="E7" s="21">
        <f>SUM(B7:D7)/3</f>
        <v>308666.66666666669</v>
      </c>
    </row>
    <row r="8" spans="1:13" x14ac:dyDescent="0.5">
      <c r="A8" s="15" t="s">
        <v>12</v>
      </c>
      <c r="B8" s="18">
        <v>104000</v>
      </c>
      <c r="C8" s="18">
        <v>171000</v>
      </c>
      <c r="D8" s="18">
        <v>200000</v>
      </c>
      <c r="E8" s="21">
        <f>SUM(B8:D8)/3</f>
        <v>158333.33333333334</v>
      </c>
    </row>
    <row r="9" spans="1:13" x14ac:dyDescent="0.5">
      <c r="B9" s="2"/>
      <c r="C9" s="2"/>
      <c r="D9" s="2"/>
      <c r="E9" s="21"/>
    </row>
    <row r="10" spans="1:13" x14ac:dyDescent="0.5">
      <c r="A10" s="16" t="s">
        <v>13</v>
      </c>
      <c r="B10" s="2"/>
      <c r="C10" s="2"/>
      <c r="D10" s="2"/>
      <c r="E10" s="21"/>
    </row>
    <row r="11" spans="1:13" x14ac:dyDescent="0.5">
      <c r="A11" s="15" t="s">
        <v>14</v>
      </c>
      <c r="B11" s="18">
        <v>70000</v>
      </c>
      <c r="C11" s="18">
        <v>114000</v>
      </c>
      <c r="D11" s="18">
        <v>131000</v>
      </c>
      <c r="E11" s="21">
        <f>SUM(B11:D11)/3</f>
        <v>105000</v>
      </c>
    </row>
    <row r="12" spans="1:13" x14ac:dyDescent="0.5">
      <c r="A12" s="15" t="s">
        <v>15</v>
      </c>
      <c r="B12" s="18">
        <v>158000</v>
      </c>
      <c r="C12" s="18">
        <v>257000</v>
      </c>
      <c r="D12" s="18">
        <v>299000</v>
      </c>
      <c r="E12" s="21">
        <f>SUM(B12:D12)/3</f>
        <v>238000</v>
      </c>
    </row>
    <row r="13" spans="1:13" x14ac:dyDescent="0.5">
      <c r="A13" s="15" t="s">
        <v>16</v>
      </c>
      <c r="B13" s="18">
        <v>117000</v>
      </c>
      <c r="C13" s="18">
        <v>192000</v>
      </c>
      <c r="D13" s="18">
        <v>221000</v>
      </c>
      <c r="E13" s="21">
        <f>SUM(B13:D13)/3</f>
        <v>176666.66666666666</v>
      </c>
    </row>
    <row r="14" spans="1:13" x14ac:dyDescent="0.5">
      <c r="B14" s="2"/>
      <c r="C14" s="2"/>
      <c r="D14" s="2"/>
      <c r="E14" s="21"/>
    </row>
    <row r="15" spans="1:13" x14ac:dyDescent="0.5">
      <c r="A15" s="16" t="s">
        <v>17</v>
      </c>
      <c r="B15" s="2"/>
      <c r="C15" s="2"/>
      <c r="D15" s="2"/>
      <c r="E15" s="21"/>
    </row>
    <row r="16" spans="1:13" x14ac:dyDescent="0.5">
      <c r="A16" s="15" t="s">
        <v>18</v>
      </c>
      <c r="B16" s="18">
        <v>132000</v>
      </c>
      <c r="C16" s="18">
        <v>214000</v>
      </c>
      <c r="D16" s="18">
        <v>251000</v>
      </c>
      <c r="E16" s="21">
        <f>SUM(B16:D16)/3</f>
        <v>199000</v>
      </c>
    </row>
    <row r="17" spans="1:6" x14ac:dyDescent="0.5">
      <c r="A17" s="15" t="s">
        <v>19</v>
      </c>
      <c r="B17" s="18">
        <v>132000</v>
      </c>
      <c r="C17" s="18">
        <v>216000</v>
      </c>
      <c r="D17" s="18">
        <v>250000</v>
      </c>
      <c r="E17" s="21">
        <f>SUM(B17:D17)/3</f>
        <v>199333.33333333334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79000</v>
      </c>
      <c r="C20" s="18">
        <v>129000</v>
      </c>
      <c r="D20" s="18">
        <v>153000</v>
      </c>
      <c r="E20" s="21">
        <f>SUM(B20:D20)/3</f>
        <v>120333.33333333333</v>
      </c>
    </row>
    <row r="21" spans="1:6" x14ac:dyDescent="0.5">
      <c r="A21" s="15" t="s">
        <v>22</v>
      </c>
      <c r="B21" s="18">
        <v>40000</v>
      </c>
      <c r="C21" s="18">
        <v>65000</v>
      </c>
      <c r="D21" s="18">
        <v>76000</v>
      </c>
      <c r="E21" s="21">
        <f>SUM(B21:D21)/3</f>
        <v>60333.333333333336</v>
      </c>
    </row>
    <row r="22" spans="1:6" x14ac:dyDescent="0.5">
      <c r="A22" s="15" t="s">
        <v>23</v>
      </c>
      <c r="B22" s="18">
        <v>13000</v>
      </c>
      <c r="C22" s="18">
        <v>22000</v>
      </c>
      <c r="D22" s="18">
        <v>25000</v>
      </c>
      <c r="E22" s="21">
        <f>SUM(B22:D22)/3</f>
        <v>20000</v>
      </c>
      <c r="F22" s="29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1318000</v>
      </c>
      <c r="C24" s="18">
        <f>SUM(C6:C22)</f>
        <v>2156000</v>
      </c>
      <c r="D24" s="18">
        <f>SUM(D6:D22)</f>
        <v>2512000</v>
      </c>
      <c r="E24" s="18">
        <f t="shared" ref="E24" si="0">SUM(E6:E22)</f>
        <v>1995333.3333333333</v>
      </c>
      <c r="F24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41015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55</v>
      </c>
      <c r="B2" s="13" t="s">
        <v>56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377000</v>
      </c>
      <c r="C6" s="18">
        <v>616000</v>
      </c>
      <c r="D6" s="18">
        <v>719000</v>
      </c>
      <c r="E6" s="21">
        <f>SUM(B6:D6)/3</f>
        <v>570666.66666666663</v>
      </c>
    </row>
    <row r="7" spans="1:5" x14ac:dyDescent="0.5">
      <c r="A7" s="15" t="s">
        <v>11</v>
      </c>
      <c r="B7" s="18">
        <v>281000</v>
      </c>
      <c r="C7" s="18">
        <v>459000</v>
      </c>
      <c r="D7" s="18">
        <v>535000</v>
      </c>
      <c r="E7" s="21">
        <f>SUM(B7:D7)/3</f>
        <v>425000</v>
      </c>
    </row>
    <row r="8" spans="1:5" x14ac:dyDescent="0.5">
      <c r="A8" s="15" t="s">
        <v>12</v>
      </c>
      <c r="B8" s="18">
        <v>145000</v>
      </c>
      <c r="C8" s="18">
        <v>237000</v>
      </c>
      <c r="D8" s="18">
        <v>275000</v>
      </c>
      <c r="E8" s="21">
        <f>SUM(B8:D8)/3</f>
        <v>219000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95000</v>
      </c>
      <c r="C11" s="18">
        <v>155000</v>
      </c>
      <c r="D11" s="18">
        <v>181000</v>
      </c>
      <c r="E11" s="21">
        <f>SUM(B11:D11)/3</f>
        <v>143666.66666666666</v>
      </c>
    </row>
    <row r="12" spans="1:5" x14ac:dyDescent="0.5">
      <c r="A12" s="15" t="s">
        <v>15</v>
      </c>
      <c r="B12" s="18">
        <v>219000</v>
      </c>
      <c r="C12" s="18">
        <v>357000</v>
      </c>
      <c r="D12" s="18">
        <v>416000</v>
      </c>
      <c r="E12" s="21">
        <f>SUM(B12:D12)/3</f>
        <v>330666.66666666669</v>
      </c>
    </row>
    <row r="13" spans="1:5" x14ac:dyDescent="0.5">
      <c r="A13" s="15" t="s">
        <v>16</v>
      </c>
      <c r="B13" s="18">
        <v>162000</v>
      </c>
      <c r="C13" s="18">
        <v>264000</v>
      </c>
      <c r="D13" s="18">
        <v>310000</v>
      </c>
      <c r="E13" s="21">
        <f>SUM(B13:D13)/3</f>
        <v>245333.33333333334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183000</v>
      </c>
      <c r="C16" s="18">
        <v>299000</v>
      </c>
      <c r="D16" s="18">
        <v>348000</v>
      </c>
      <c r="E16" s="21">
        <f>SUM(B16:D16)/3</f>
        <v>276666.66666666669</v>
      </c>
    </row>
    <row r="17" spans="1:6" x14ac:dyDescent="0.5">
      <c r="A17" s="15" t="s">
        <v>19</v>
      </c>
      <c r="B17" s="18">
        <v>184000</v>
      </c>
      <c r="C17" s="18">
        <v>299000</v>
      </c>
      <c r="D17" s="18">
        <v>347000</v>
      </c>
      <c r="E17" s="21">
        <f>SUM(B17:D17)/3</f>
        <v>276666.66666666669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111000</v>
      </c>
      <c r="C20" s="18">
        <v>179000</v>
      </c>
      <c r="D20" s="18">
        <v>208000</v>
      </c>
      <c r="E20" s="21">
        <f>SUM(B20:D20)/3</f>
        <v>166000</v>
      </c>
    </row>
    <row r="21" spans="1:6" x14ac:dyDescent="0.5">
      <c r="A21" s="15" t="s">
        <v>22</v>
      </c>
      <c r="B21" s="18">
        <v>55000</v>
      </c>
      <c r="C21" s="18">
        <v>89000</v>
      </c>
      <c r="D21" s="18">
        <v>105000</v>
      </c>
      <c r="E21" s="21">
        <f>SUM(B21:D21)/3</f>
        <v>83000</v>
      </c>
    </row>
    <row r="22" spans="1:6" x14ac:dyDescent="0.5">
      <c r="A22" s="15" t="s">
        <v>23</v>
      </c>
      <c r="B22" s="18">
        <v>18000</v>
      </c>
      <c r="C22" s="18">
        <v>30000</v>
      </c>
      <c r="D22" s="18">
        <v>35000</v>
      </c>
      <c r="E22" s="21">
        <f>SUM(B22:D22)/3</f>
        <v>27666.666666666668</v>
      </c>
      <c r="F22" s="20"/>
    </row>
    <row r="23" spans="1:6" x14ac:dyDescent="0.5">
      <c r="A23" s="15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1830000</v>
      </c>
      <c r="C24" s="18">
        <f>SUM(C6:C22)</f>
        <v>2984000</v>
      </c>
      <c r="D24" s="18">
        <f>SUM(D6:D22)</f>
        <v>3479000</v>
      </c>
      <c r="E24" s="18">
        <f t="shared" ref="E24" si="0">SUM(E6:E22)</f>
        <v>2764333.333333333</v>
      </c>
      <c r="F24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4"/>
  <sheetViews>
    <sheetView workbookViewId="0">
      <selection activeCell="B17" sqref="B17"/>
    </sheetView>
  </sheetViews>
  <sheetFormatPr defaultRowHeight="14.35" x14ac:dyDescent="0.5"/>
  <cols>
    <col min="1" max="1" width="39.5859375" customWidth="1"/>
    <col min="2" max="5" width="20.703125" customWidth="1"/>
    <col min="6" max="6" width="17.7031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57</v>
      </c>
      <c r="B2" s="13" t="s">
        <v>58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282000</v>
      </c>
      <c r="C6" s="18">
        <v>462000</v>
      </c>
      <c r="D6" s="18">
        <v>540000</v>
      </c>
      <c r="E6" s="21">
        <f>SUM(B6:D6)/3</f>
        <v>428000</v>
      </c>
    </row>
    <row r="7" spans="1:5" x14ac:dyDescent="0.5">
      <c r="A7" s="15" t="s">
        <v>11</v>
      </c>
      <c r="B7" s="18">
        <v>212000</v>
      </c>
      <c r="C7" s="18">
        <v>344000</v>
      </c>
      <c r="D7" s="18">
        <v>402000</v>
      </c>
      <c r="E7" s="21">
        <f>SUM(B7:D7)/3</f>
        <v>319333.33333333331</v>
      </c>
    </row>
    <row r="8" spans="1:5" x14ac:dyDescent="0.5">
      <c r="A8" s="15" t="s">
        <v>12</v>
      </c>
      <c r="B8" s="18">
        <v>109000</v>
      </c>
      <c r="C8" s="18">
        <v>177000</v>
      </c>
      <c r="D8" s="18">
        <v>207000</v>
      </c>
      <c r="E8" s="21">
        <f>SUM(B8:D8)/3</f>
        <v>164333.33333333334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72000</v>
      </c>
      <c r="C11" s="18">
        <v>117000</v>
      </c>
      <c r="D11" s="18">
        <v>312000</v>
      </c>
      <c r="E11" s="21">
        <f>SUM(B11:D11)/3</f>
        <v>167000</v>
      </c>
    </row>
    <row r="12" spans="1:5" x14ac:dyDescent="0.5">
      <c r="A12" s="15" t="s">
        <v>15</v>
      </c>
      <c r="B12" s="18">
        <v>164000</v>
      </c>
      <c r="C12" s="18">
        <v>269000</v>
      </c>
      <c r="D12" s="18">
        <v>231000</v>
      </c>
      <c r="E12" s="21">
        <f>SUM(B12:D12)/3</f>
        <v>221333.33333333334</v>
      </c>
    </row>
    <row r="13" spans="1:5" x14ac:dyDescent="0.5">
      <c r="A13" s="15" t="s">
        <v>16</v>
      </c>
      <c r="B13" s="18">
        <v>122000</v>
      </c>
      <c r="C13" s="18">
        <v>199000</v>
      </c>
      <c r="D13" s="18">
        <v>261000</v>
      </c>
      <c r="E13" s="21">
        <f>SUM(B13:D13)/3</f>
        <v>194000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138000</v>
      </c>
      <c r="C16" s="18">
        <v>224000</v>
      </c>
      <c r="D16" s="18">
        <v>261000</v>
      </c>
      <c r="E16" s="21">
        <f>SUM(B16:D16)/3</f>
        <v>207666.66666666666</v>
      </c>
    </row>
    <row r="17" spans="1:6" x14ac:dyDescent="0.5">
      <c r="A17" s="15" t="s">
        <v>19</v>
      </c>
      <c r="B17" s="18">
        <v>137000</v>
      </c>
      <c r="C17" s="18">
        <v>223000</v>
      </c>
      <c r="D17" s="18">
        <v>261000</v>
      </c>
      <c r="E17" s="21">
        <f>SUM(B17:D17)/3</f>
        <v>207000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83000</v>
      </c>
      <c r="C20" s="18">
        <v>134000</v>
      </c>
      <c r="D20" s="18">
        <v>157000</v>
      </c>
      <c r="E20" s="21">
        <f>SUM(B20:D20)/3</f>
        <v>124666.66666666667</v>
      </c>
    </row>
    <row r="21" spans="1:6" x14ac:dyDescent="0.5">
      <c r="A21" s="15" t="s">
        <v>22</v>
      </c>
      <c r="B21" s="18">
        <v>42000</v>
      </c>
      <c r="C21" s="18">
        <v>67000</v>
      </c>
      <c r="D21" s="18">
        <v>79000</v>
      </c>
      <c r="E21" s="21">
        <f>SUM(B21:D21)/3</f>
        <v>62666.666666666664</v>
      </c>
    </row>
    <row r="22" spans="1:6" x14ac:dyDescent="0.5">
      <c r="A22" s="15" t="s">
        <v>23</v>
      </c>
      <c r="B22" s="18">
        <v>14000</v>
      </c>
      <c r="C22" s="18">
        <v>23000</v>
      </c>
      <c r="D22" s="18">
        <v>26000</v>
      </c>
      <c r="E22" s="21">
        <f>SUM(B22:D22)/3</f>
        <v>21000</v>
      </c>
      <c r="F22" s="20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1375000</v>
      </c>
      <c r="C24" s="18">
        <f>SUM(C6:C22)</f>
        <v>2239000</v>
      </c>
      <c r="D24" s="18">
        <f>SUM(D6:D22)</f>
        <v>2737000</v>
      </c>
      <c r="E24" s="18">
        <f t="shared" ref="E24" si="0">SUM(E6:E22)</f>
        <v>2117000</v>
      </c>
      <c r="F24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8.41015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59</v>
      </c>
      <c r="B2" s="13" t="s">
        <v>60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68000</v>
      </c>
      <c r="C6" s="18">
        <v>112000</v>
      </c>
      <c r="D6" s="18">
        <v>130000</v>
      </c>
      <c r="E6" s="21">
        <f>SUM(B6:D6)/3</f>
        <v>103333.33333333333</v>
      </c>
    </row>
    <row r="7" spans="1:5" x14ac:dyDescent="0.5">
      <c r="A7" s="15" t="s">
        <v>11</v>
      </c>
      <c r="B7" s="18">
        <v>51000</v>
      </c>
      <c r="C7" s="18">
        <v>83000</v>
      </c>
      <c r="D7" s="18">
        <v>97000</v>
      </c>
      <c r="E7" s="21">
        <f>SUM(B7:D7)/3</f>
        <v>77000</v>
      </c>
    </row>
    <row r="8" spans="1:5" x14ac:dyDescent="0.5">
      <c r="A8" s="15" t="s">
        <v>12</v>
      </c>
      <c r="B8" s="18">
        <v>26000</v>
      </c>
      <c r="C8" s="18">
        <v>43000</v>
      </c>
      <c r="D8" s="18">
        <v>50000</v>
      </c>
      <c r="E8" s="21">
        <f>SUM(B8:D8)/3</f>
        <v>39666.666666666664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17000</v>
      </c>
      <c r="C11" s="18">
        <v>28000</v>
      </c>
      <c r="D11" s="18">
        <v>33000</v>
      </c>
      <c r="E11" s="21">
        <f>SUM(B11:D11)/3</f>
        <v>26000</v>
      </c>
    </row>
    <row r="12" spans="1:5" x14ac:dyDescent="0.5">
      <c r="A12" s="15" t="s">
        <v>15</v>
      </c>
      <c r="B12" s="18">
        <v>39000</v>
      </c>
      <c r="C12" s="18">
        <v>65000</v>
      </c>
      <c r="D12" s="18">
        <v>75000</v>
      </c>
      <c r="E12" s="21">
        <f>SUM(B12:D12)/3</f>
        <v>59666.666666666664</v>
      </c>
    </row>
    <row r="13" spans="1:5" x14ac:dyDescent="0.5">
      <c r="A13" s="15" t="s">
        <v>16</v>
      </c>
      <c r="B13" s="18">
        <v>29000</v>
      </c>
      <c r="C13" s="18">
        <v>48000</v>
      </c>
      <c r="D13" s="18">
        <v>56000</v>
      </c>
      <c r="E13" s="21">
        <f>SUM(B13:D13)/3</f>
        <v>44333.333333333336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33000</v>
      </c>
      <c r="C16" s="18">
        <v>54000</v>
      </c>
      <c r="D16" s="18">
        <v>63000</v>
      </c>
      <c r="E16" s="21">
        <f>SUM(B16:D16)/3</f>
        <v>50000</v>
      </c>
    </row>
    <row r="17" spans="1:6" x14ac:dyDescent="0.5">
      <c r="A17" s="15" t="s">
        <v>19</v>
      </c>
      <c r="B17" s="18">
        <v>34000</v>
      </c>
      <c r="C17" s="18">
        <v>54000</v>
      </c>
      <c r="D17" s="18">
        <v>63000</v>
      </c>
      <c r="E17" s="21">
        <f>SUM(B17:D17)/3</f>
        <v>50333.333333333336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20000</v>
      </c>
      <c r="C20" s="18">
        <v>33000</v>
      </c>
      <c r="D20" s="18">
        <v>38000</v>
      </c>
      <c r="E20" s="21">
        <f>SUM(B20:D20)/3</f>
        <v>30333.333333333332</v>
      </c>
    </row>
    <row r="21" spans="1:6" x14ac:dyDescent="0.5">
      <c r="A21" s="15" t="s">
        <v>22</v>
      </c>
      <c r="B21" s="18">
        <v>10000</v>
      </c>
      <c r="C21" s="18">
        <v>16000</v>
      </c>
      <c r="D21" s="18">
        <v>19000</v>
      </c>
      <c r="E21" s="21">
        <f>SUM(B21:D21)/3</f>
        <v>15000</v>
      </c>
    </row>
    <row r="22" spans="1:6" x14ac:dyDescent="0.5">
      <c r="A22" s="15" t="s">
        <v>23</v>
      </c>
      <c r="B22" s="18">
        <v>3300</v>
      </c>
      <c r="C22" s="18">
        <v>5500</v>
      </c>
      <c r="D22" s="18">
        <v>6300</v>
      </c>
      <c r="E22" s="21">
        <f>SUM(B22:D22)/3</f>
        <v>5033.333333333333</v>
      </c>
      <c r="F22" s="20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330300</v>
      </c>
      <c r="C24" s="18">
        <f>SUM(C6:C22)</f>
        <v>541500</v>
      </c>
      <c r="D24" s="18">
        <f>SUM(D6:D22)</f>
        <v>630300</v>
      </c>
      <c r="E24" s="18">
        <f t="shared" ref="E24" si="0">SUM(E6:E22)</f>
        <v>500699.99999999988</v>
      </c>
      <c r="F24" s="1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7031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6" t="s">
        <v>61</v>
      </c>
      <c r="B2" s="7" t="s">
        <v>62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90000</v>
      </c>
      <c r="C6" s="18">
        <v>147000</v>
      </c>
      <c r="D6" s="18">
        <v>171000</v>
      </c>
      <c r="E6" s="21">
        <f>SUM(B6:D6)/3</f>
        <v>136000</v>
      </c>
    </row>
    <row r="7" spans="1:5" x14ac:dyDescent="0.5">
      <c r="A7" s="15" t="s">
        <v>11</v>
      </c>
      <c r="B7" s="18">
        <v>67000</v>
      </c>
      <c r="C7" s="18">
        <v>109000</v>
      </c>
      <c r="D7" s="18">
        <v>127000</v>
      </c>
      <c r="E7" s="21">
        <f>SUM(B7:D7)/3</f>
        <v>101000</v>
      </c>
    </row>
    <row r="8" spans="1:5" x14ac:dyDescent="0.5">
      <c r="A8" s="15" t="s">
        <v>12</v>
      </c>
      <c r="B8" s="18">
        <v>34000</v>
      </c>
      <c r="C8" s="18">
        <v>56000</v>
      </c>
      <c r="D8" s="18">
        <v>65000</v>
      </c>
      <c r="E8" s="21">
        <f>SUM(B8:D8)/3</f>
        <v>51666.666666666664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22000</v>
      </c>
      <c r="C11" s="18">
        <v>37000</v>
      </c>
      <c r="D11" s="18">
        <v>43000</v>
      </c>
      <c r="E11" s="21">
        <f>SUM(B11:D11)/3</f>
        <v>34000</v>
      </c>
    </row>
    <row r="12" spans="1:5" x14ac:dyDescent="0.5">
      <c r="A12" s="15" t="s">
        <v>15</v>
      </c>
      <c r="B12" s="18">
        <v>52000</v>
      </c>
      <c r="C12" s="18">
        <v>85000</v>
      </c>
      <c r="D12" s="18">
        <v>99000</v>
      </c>
      <c r="E12" s="21">
        <f>SUM(B12:D12)/3</f>
        <v>78666.666666666672</v>
      </c>
    </row>
    <row r="13" spans="1:5" x14ac:dyDescent="0.5">
      <c r="A13" s="15" t="s">
        <v>16</v>
      </c>
      <c r="B13" s="18">
        <v>38000</v>
      </c>
      <c r="C13" s="18">
        <v>63000</v>
      </c>
      <c r="D13" s="18">
        <v>73000</v>
      </c>
      <c r="E13" s="21">
        <f>SUM(B13:D13)/3</f>
        <v>58000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43000</v>
      </c>
      <c r="C16" s="18">
        <v>71000</v>
      </c>
      <c r="D16" s="18">
        <v>83000</v>
      </c>
      <c r="E16" s="21">
        <f>SUM(B16:D16)/3</f>
        <v>65666.666666666672</v>
      </c>
    </row>
    <row r="17" spans="1:6" x14ac:dyDescent="0.5">
      <c r="A17" s="15" t="s">
        <v>19</v>
      </c>
      <c r="B17" s="18">
        <v>43000</v>
      </c>
      <c r="C17" s="18">
        <v>71000</v>
      </c>
      <c r="D17" s="18">
        <v>82000</v>
      </c>
      <c r="E17" s="21">
        <f>SUM(B17:D17)/3</f>
        <v>65333.333333333336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26000</v>
      </c>
      <c r="C20" s="18">
        <v>43000</v>
      </c>
      <c r="D20" s="18">
        <v>50000</v>
      </c>
      <c r="E20" s="21">
        <f>SUM(B20:D20)/3</f>
        <v>39666.666666666664</v>
      </c>
    </row>
    <row r="21" spans="1:6" x14ac:dyDescent="0.5">
      <c r="A21" s="15" t="s">
        <v>22</v>
      </c>
      <c r="B21" s="18">
        <v>13000</v>
      </c>
      <c r="C21" s="18">
        <v>21000</v>
      </c>
      <c r="D21" s="18">
        <v>25000</v>
      </c>
      <c r="E21" s="21">
        <f>SUM(B21:D21)/3</f>
        <v>19666.666666666668</v>
      </c>
    </row>
    <row r="22" spans="1:6" x14ac:dyDescent="0.5">
      <c r="A22" s="15" t="s">
        <v>23</v>
      </c>
      <c r="B22" s="18">
        <v>4300</v>
      </c>
      <c r="C22" s="18">
        <v>2500</v>
      </c>
      <c r="D22" s="18">
        <v>8000</v>
      </c>
      <c r="E22" s="21">
        <f>SUM(B22:D22)/3</f>
        <v>4933.333333333333</v>
      </c>
      <c r="F22" s="20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432300</v>
      </c>
      <c r="C24" s="18">
        <f>SUM(C6:C22)</f>
        <v>705500</v>
      </c>
      <c r="D24" s="18">
        <f>SUM(D6:D22)</f>
        <v>826000</v>
      </c>
      <c r="E24" s="18">
        <f t="shared" ref="E24" si="0">SUM(E6:E22)</f>
        <v>654600</v>
      </c>
      <c r="F24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41015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63</v>
      </c>
      <c r="B2" s="13" t="s">
        <v>64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2900</v>
      </c>
      <c r="C6" s="18">
        <v>4700</v>
      </c>
      <c r="D6" s="18">
        <v>5400</v>
      </c>
      <c r="E6" s="21">
        <f>SUM(B6:D6)/3</f>
        <v>4333.333333333333</v>
      </c>
    </row>
    <row r="7" spans="1:5" x14ac:dyDescent="0.5">
      <c r="A7" s="15" t="s">
        <v>11</v>
      </c>
      <c r="B7" s="18">
        <v>2200</v>
      </c>
      <c r="C7" s="18">
        <v>3500</v>
      </c>
      <c r="D7" s="18">
        <v>4000</v>
      </c>
      <c r="E7" s="21">
        <f>SUM(B7:D7)/3</f>
        <v>3233.3333333333335</v>
      </c>
    </row>
    <row r="8" spans="1:5" x14ac:dyDescent="0.5">
      <c r="A8" s="15" t="s">
        <v>12</v>
      </c>
      <c r="B8" s="18">
        <v>1100</v>
      </c>
      <c r="C8" s="18">
        <v>1800</v>
      </c>
      <c r="D8" s="18">
        <v>2100</v>
      </c>
      <c r="E8" s="21">
        <f>SUM(B8:D8)/3</f>
        <v>1666.6666666666667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700</v>
      </c>
      <c r="C11" s="18">
        <v>1200</v>
      </c>
      <c r="D11" s="18">
        <v>1400</v>
      </c>
      <c r="E11" s="21">
        <f>SUM(B11:D11)/3</f>
        <v>1100</v>
      </c>
    </row>
    <row r="12" spans="1:5" x14ac:dyDescent="0.5">
      <c r="A12" s="15" t="s">
        <v>15</v>
      </c>
      <c r="B12" s="18">
        <v>1700</v>
      </c>
      <c r="C12" s="18">
        <v>2800</v>
      </c>
      <c r="D12" s="18">
        <v>3200</v>
      </c>
      <c r="E12" s="21">
        <f>SUM(B12:D12)/3</f>
        <v>2566.6666666666665</v>
      </c>
    </row>
    <row r="13" spans="1:5" x14ac:dyDescent="0.5">
      <c r="A13" s="15" t="s">
        <v>16</v>
      </c>
      <c r="B13" s="18">
        <v>1300</v>
      </c>
      <c r="C13" s="18">
        <v>2000</v>
      </c>
      <c r="D13" s="18">
        <v>2300</v>
      </c>
      <c r="E13" s="21">
        <f>SUM(B13:D13)/3</f>
        <v>1866.6666666666667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1400</v>
      </c>
      <c r="C16" s="18">
        <v>2300</v>
      </c>
      <c r="D16" s="18">
        <v>2600</v>
      </c>
      <c r="E16" s="21">
        <f>SUM(B16:D16)/3</f>
        <v>2100</v>
      </c>
    </row>
    <row r="17" spans="1:6" x14ac:dyDescent="0.5">
      <c r="A17" s="15" t="s">
        <v>19</v>
      </c>
      <c r="B17" s="18">
        <v>1400</v>
      </c>
      <c r="C17" s="18">
        <v>2300</v>
      </c>
      <c r="D17" s="18">
        <v>2700</v>
      </c>
      <c r="E17" s="21">
        <f>SUM(B17:D17)/3</f>
        <v>2133.3333333333335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800</v>
      </c>
      <c r="C20" s="18">
        <v>1400</v>
      </c>
      <c r="D20" s="18">
        <v>1600</v>
      </c>
      <c r="E20" s="21">
        <f>SUM(B20:D20)/3</f>
        <v>1266.6666666666667</v>
      </c>
    </row>
    <row r="21" spans="1:6" x14ac:dyDescent="0.5">
      <c r="A21" s="15" t="s">
        <v>22</v>
      </c>
      <c r="B21" s="18">
        <v>430</v>
      </c>
      <c r="C21" s="18">
        <v>700</v>
      </c>
      <c r="D21" s="18">
        <v>800</v>
      </c>
      <c r="E21" s="21">
        <f>SUM(B21:D21)/3</f>
        <v>643.33333333333337</v>
      </c>
      <c r="F21" s="20"/>
    </row>
    <row r="22" spans="1:6" x14ac:dyDescent="0.5">
      <c r="A22" s="15" t="s">
        <v>23</v>
      </c>
      <c r="B22" s="18">
        <v>200</v>
      </c>
      <c r="C22" s="18">
        <v>200</v>
      </c>
      <c r="D22" s="18">
        <v>300</v>
      </c>
      <c r="E22" s="21">
        <f>SUM(B22:D22)/3</f>
        <v>233.33333333333334</v>
      </c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14130</v>
      </c>
      <c r="C24" s="18">
        <f>SUM(C6:C22)</f>
        <v>22900</v>
      </c>
      <c r="D24" s="18">
        <f>SUM(D6:D22)</f>
        <v>26400</v>
      </c>
      <c r="E24" s="18">
        <f t="shared" ref="E24" si="0">SUM(E6:E22)</f>
        <v>21143.333333333328</v>
      </c>
      <c r="F24" s="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41015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65</v>
      </c>
      <c r="B2" s="13" t="s">
        <v>66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2300</v>
      </c>
      <c r="C6" s="18">
        <v>3700</v>
      </c>
      <c r="D6" s="18">
        <v>4300</v>
      </c>
      <c r="E6" s="21">
        <f>SUM(B6:D6)/3</f>
        <v>3433.3333333333335</v>
      </c>
    </row>
    <row r="7" spans="1:5" x14ac:dyDescent="0.5">
      <c r="A7" s="15" t="s">
        <v>11</v>
      </c>
      <c r="B7" s="18">
        <v>1700</v>
      </c>
      <c r="C7" s="18">
        <v>2700</v>
      </c>
      <c r="D7" s="18">
        <v>3200</v>
      </c>
      <c r="E7" s="21">
        <f>SUM(B7:D7)/3</f>
        <v>2533.3333333333335</v>
      </c>
    </row>
    <row r="8" spans="1:5" x14ac:dyDescent="0.5">
      <c r="A8" s="15" t="s">
        <v>12</v>
      </c>
      <c r="B8" s="18">
        <v>900</v>
      </c>
      <c r="C8" s="18">
        <v>1400</v>
      </c>
      <c r="D8" s="18">
        <v>1700</v>
      </c>
      <c r="E8" s="21">
        <f>SUM(B8:D8)/3</f>
        <v>1333.3333333333333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600</v>
      </c>
      <c r="C11" s="18">
        <v>1000</v>
      </c>
      <c r="D11" s="18">
        <v>1100</v>
      </c>
      <c r="E11" s="21">
        <f>SUM(B11:D11)/3</f>
        <v>900</v>
      </c>
    </row>
    <row r="12" spans="1:5" x14ac:dyDescent="0.5">
      <c r="A12" s="15" t="s">
        <v>15</v>
      </c>
      <c r="B12" s="18">
        <v>1300</v>
      </c>
      <c r="C12" s="18">
        <v>2100</v>
      </c>
      <c r="D12" s="18">
        <v>2500</v>
      </c>
      <c r="E12" s="21">
        <f>SUM(B12:D12)/3</f>
        <v>1966.6666666666667</v>
      </c>
    </row>
    <row r="13" spans="1:5" x14ac:dyDescent="0.5">
      <c r="A13" s="15" t="s">
        <v>16</v>
      </c>
      <c r="B13" s="18">
        <v>1000</v>
      </c>
      <c r="C13" s="18">
        <v>1600</v>
      </c>
      <c r="D13" s="18">
        <v>1800</v>
      </c>
      <c r="E13" s="21">
        <f>SUM(B13:D13)/3</f>
        <v>1466.6666666666667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1100</v>
      </c>
      <c r="C16" s="18">
        <v>1800</v>
      </c>
      <c r="D16" s="18">
        <v>2100</v>
      </c>
      <c r="E16" s="21">
        <f>SUM(B16:D16)/3</f>
        <v>1666.6666666666667</v>
      </c>
    </row>
    <row r="17" spans="1:6" x14ac:dyDescent="0.5">
      <c r="A17" s="15" t="s">
        <v>19</v>
      </c>
      <c r="B17" s="18">
        <v>1100</v>
      </c>
      <c r="C17" s="18">
        <v>1800</v>
      </c>
      <c r="D17" s="18">
        <v>2100</v>
      </c>
      <c r="E17" s="21">
        <f>SUM(B17:D17)/3</f>
        <v>1666.6666666666667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600</v>
      </c>
      <c r="C20" s="18">
        <v>1100</v>
      </c>
      <c r="D20" s="18">
        <v>1300</v>
      </c>
      <c r="E20" s="21">
        <f>SUM(B20:D20)/3</f>
        <v>1000</v>
      </c>
    </row>
    <row r="21" spans="1:6" x14ac:dyDescent="0.5">
      <c r="A21" s="15" t="s">
        <v>22</v>
      </c>
      <c r="B21" s="18">
        <v>300</v>
      </c>
      <c r="C21" s="18">
        <v>550</v>
      </c>
      <c r="D21" s="18">
        <v>600</v>
      </c>
      <c r="E21" s="21">
        <f>SUM(B21:D21)/3</f>
        <v>483.33333333333331</v>
      </c>
    </row>
    <row r="22" spans="1:6" x14ac:dyDescent="0.5">
      <c r="A22" s="15" t="s">
        <v>23</v>
      </c>
      <c r="B22" s="18">
        <v>100</v>
      </c>
      <c r="C22" s="18">
        <v>200</v>
      </c>
      <c r="D22" s="18">
        <v>200</v>
      </c>
      <c r="E22" s="21">
        <f>SUM(B22:D22)/3</f>
        <v>166.66666666666666</v>
      </c>
      <c r="F22" s="29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11000</v>
      </c>
      <c r="C24" s="18">
        <f>SUM(C6:C22)</f>
        <v>17950</v>
      </c>
      <c r="D24" s="18">
        <f>SUM(D6:D22)</f>
        <v>20900</v>
      </c>
      <c r="E24" s="18">
        <f t="shared" ref="E24" si="0">SUM(E6:E22)</f>
        <v>16616.666666666664</v>
      </c>
      <c r="F24" s="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87890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67</v>
      </c>
      <c r="B2" s="13" t="s">
        <v>68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20000</v>
      </c>
      <c r="C6" s="18">
        <v>32000</v>
      </c>
      <c r="D6" s="18">
        <v>38000</v>
      </c>
      <c r="E6" s="21">
        <f>SUM(B6:D6)/3</f>
        <v>30000</v>
      </c>
    </row>
    <row r="7" spans="1:5" x14ac:dyDescent="0.5">
      <c r="A7" s="15" t="s">
        <v>11</v>
      </c>
      <c r="B7" s="18">
        <v>15000</v>
      </c>
      <c r="C7" s="18">
        <v>24000</v>
      </c>
      <c r="D7" s="18">
        <v>28000</v>
      </c>
      <c r="E7" s="21">
        <f>SUM(B7:D7)/3</f>
        <v>22333.333333333332</v>
      </c>
    </row>
    <row r="8" spans="1:5" x14ac:dyDescent="0.5">
      <c r="A8" s="15" t="s">
        <v>12</v>
      </c>
      <c r="B8" s="18">
        <v>7500</v>
      </c>
      <c r="C8" s="18">
        <v>12000</v>
      </c>
      <c r="D8" s="18">
        <v>14000</v>
      </c>
      <c r="E8" s="21">
        <f>SUM(B8:D8)/3</f>
        <v>11166.666666666666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5000</v>
      </c>
      <c r="C11" s="18">
        <v>8100</v>
      </c>
      <c r="D11" s="18">
        <v>9500</v>
      </c>
      <c r="E11" s="21">
        <f>SUM(B11:D11)/3</f>
        <v>7533.333333333333</v>
      </c>
    </row>
    <row r="12" spans="1:5" x14ac:dyDescent="0.5">
      <c r="A12" s="15" t="s">
        <v>15</v>
      </c>
      <c r="B12" s="18">
        <v>11000</v>
      </c>
      <c r="C12" s="18">
        <v>19000</v>
      </c>
      <c r="D12" s="18">
        <v>22000</v>
      </c>
      <c r="E12" s="21">
        <f>SUM(B12:D12)/3</f>
        <v>17333.333333333332</v>
      </c>
    </row>
    <row r="13" spans="1:5" x14ac:dyDescent="0.5">
      <c r="A13" s="15" t="s">
        <v>16</v>
      </c>
      <c r="B13" s="18">
        <v>8400</v>
      </c>
      <c r="C13" s="18">
        <v>14000</v>
      </c>
      <c r="D13" s="18">
        <v>16000</v>
      </c>
      <c r="E13" s="21">
        <f>SUM(B13:D13)/3</f>
        <v>12800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9500</v>
      </c>
      <c r="C16" s="18">
        <v>16000</v>
      </c>
      <c r="D16" s="18">
        <v>18000</v>
      </c>
      <c r="E16" s="21">
        <f>SUM(B16:D16)/3</f>
        <v>14500</v>
      </c>
    </row>
    <row r="17" spans="1:6" x14ac:dyDescent="0.5">
      <c r="A17" s="15" t="s">
        <v>19</v>
      </c>
      <c r="B17" s="18">
        <v>9500</v>
      </c>
      <c r="C17" s="18">
        <v>16000</v>
      </c>
      <c r="D17" s="18">
        <v>18000</v>
      </c>
      <c r="E17" s="21">
        <f>SUM(B17:D17)/3</f>
        <v>14500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5700</v>
      </c>
      <c r="C20" s="18">
        <v>10000</v>
      </c>
      <c r="D20" s="18">
        <v>11000</v>
      </c>
      <c r="E20" s="21">
        <f>SUM(B20:D20)/3</f>
        <v>8900</v>
      </c>
    </row>
    <row r="21" spans="1:6" x14ac:dyDescent="0.5">
      <c r="A21" s="15" t="s">
        <v>22</v>
      </c>
      <c r="B21" s="18">
        <v>2900</v>
      </c>
      <c r="C21" s="18">
        <v>4700</v>
      </c>
      <c r="D21" s="18">
        <v>5600</v>
      </c>
      <c r="E21" s="21">
        <f>SUM(B21:D21)/3</f>
        <v>4400</v>
      </c>
      <c r="F21" s="20"/>
    </row>
    <row r="22" spans="1:6" x14ac:dyDescent="0.5">
      <c r="A22" s="15" t="s">
        <v>23</v>
      </c>
      <c r="B22" s="18">
        <v>1000</v>
      </c>
      <c r="C22" s="18">
        <v>1600</v>
      </c>
      <c r="D22" s="18">
        <v>1900</v>
      </c>
      <c r="E22" s="21">
        <f>SUM(B22:D22)/3</f>
        <v>1500</v>
      </c>
    </row>
    <row r="23" spans="1:6" x14ac:dyDescent="0.5">
      <c r="A23" s="15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95500</v>
      </c>
      <c r="C24" s="18">
        <f>SUM(C6:C22)</f>
        <v>157400</v>
      </c>
      <c r="D24" s="18">
        <f>SUM(D6:D22)</f>
        <v>182000</v>
      </c>
      <c r="E24" s="18">
        <f t="shared" ref="E24" si="0">SUM(E6:E22)</f>
        <v>144966.66666666666</v>
      </c>
      <c r="F24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8.117187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69</v>
      </c>
      <c r="B2" s="13" t="s">
        <v>70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27000</v>
      </c>
      <c r="C6" s="18">
        <v>43000</v>
      </c>
      <c r="D6" s="18">
        <v>51000</v>
      </c>
      <c r="E6" s="21">
        <f>SUM(B6:D6)/3</f>
        <v>40333.333333333336</v>
      </c>
    </row>
    <row r="7" spans="1:5" x14ac:dyDescent="0.5">
      <c r="A7" s="15" t="s">
        <v>11</v>
      </c>
      <c r="B7" s="18">
        <v>20000</v>
      </c>
      <c r="C7" s="18">
        <v>32000</v>
      </c>
      <c r="D7" s="18">
        <v>38000</v>
      </c>
      <c r="E7" s="21">
        <f>SUM(B7:D7)/3</f>
        <v>30000</v>
      </c>
    </row>
    <row r="8" spans="1:5" x14ac:dyDescent="0.5">
      <c r="A8" s="15" t="s">
        <v>12</v>
      </c>
      <c r="B8" s="18">
        <v>10000</v>
      </c>
      <c r="C8" s="18">
        <v>17000</v>
      </c>
      <c r="D8" s="18">
        <v>19000</v>
      </c>
      <c r="E8" s="21">
        <f>SUM(B8:D8)/3</f>
        <v>15333.333333333334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6700</v>
      </c>
      <c r="C11" s="18">
        <v>11000</v>
      </c>
      <c r="D11" s="18">
        <v>13000</v>
      </c>
      <c r="E11" s="21">
        <f>SUM(B11:D11)/3</f>
        <v>10233.333333333334</v>
      </c>
    </row>
    <row r="12" spans="1:5" x14ac:dyDescent="0.5">
      <c r="A12" s="15" t="s">
        <v>15</v>
      </c>
      <c r="B12" s="18">
        <v>15000</v>
      </c>
      <c r="C12" s="18">
        <v>25000</v>
      </c>
      <c r="D12" s="18">
        <v>29000</v>
      </c>
      <c r="E12" s="21">
        <f>SUM(B12:D12)/3</f>
        <v>23000</v>
      </c>
    </row>
    <row r="13" spans="1:5" x14ac:dyDescent="0.5">
      <c r="A13" s="15" t="s">
        <v>16</v>
      </c>
      <c r="B13" s="18">
        <v>11000</v>
      </c>
      <c r="C13" s="18">
        <v>19000</v>
      </c>
      <c r="D13" s="18">
        <v>22000</v>
      </c>
      <c r="E13" s="21">
        <f>SUM(B13:D13)/3</f>
        <v>17333.333333333332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13000</v>
      </c>
      <c r="C16" s="18">
        <v>21000</v>
      </c>
      <c r="D16" s="18">
        <v>25000</v>
      </c>
      <c r="E16" s="21">
        <f>SUM(B16:D16)/3</f>
        <v>19666.666666666668</v>
      </c>
    </row>
    <row r="17" spans="1:6" x14ac:dyDescent="0.5">
      <c r="A17" s="15" t="s">
        <v>19</v>
      </c>
      <c r="B17" s="18">
        <v>13000</v>
      </c>
      <c r="C17" s="18">
        <v>21000</v>
      </c>
      <c r="D17" s="18">
        <v>24000</v>
      </c>
      <c r="E17" s="21">
        <f>SUM(B17:D17)/3</f>
        <v>19333.333333333332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7700</v>
      </c>
      <c r="C20" s="18">
        <v>13000</v>
      </c>
      <c r="D20" s="18">
        <v>15000</v>
      </c>
      <c r="E20" s="21">
        <f>SUM(B20:D20)/3</f>
        <v>11900</v>
      </c>
    </row>
    <row r="21" spans="1:6" x14ac:dyDescent="0.5">
      <c r="A21" s="15" t="s">
        <v>22</v>
      </c>
      <c r="B21" s="18">
        <v>4000</v>
      </c>
      <c r="C21" s="18">
        <v>6300</v>
      </c>
      <c r="D21" s="18">
        <v>7400</v>
      </c>
      <c r="E21" s="21">
        <f>SUM(B21:D21)/3</f>
        <v>5900</v>
      </c>
      <c r="F21" s="20"/>
    </row>
    <row r="22" spans="1:6" x14ac:dyDescent="0.5">
      <c r="A22" s="15" t="s">
        <v>23</v>
      </c>
      <c r="B22" s="18">
        <v>1300</v>
      </c>
      <c r="C22" s="18">
        <v>2200</v>
      </c>
      <c r="D22" s="18">
        <v>2500</v>
      </c>
      <c r="E22" s="21">
        <f>SUM(B22:D22)/3</f>
        <v>2000</v>
      </c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128700</v>
      </c>
      <c r="C24" s="18">
        <f>SUM(C6:C22)</f>
        <v>210500</v>
      </c>
      <c r="D24" s="18">
        <f>SUM(D6:D22)</f>
        <v>245900</v>
      </c>
      <c r="E24" s="18">
        <f t="shared" ref="E24" si="0">SUM(E6:E22)</f>
        <v>195033.33333333334</v>
      </c>
      <c r="F24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8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71</v>
      </c>
      <c r="B2" s="13" t="s">
        <v>72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14000</v>
      </c>
      <c r="C6" s="18">
        <v>23000</v>
      </c>
      <c r="D6" s="18">
        <v>27000</v>
      </c>
      <c r="E6" s="21">
        <f>SUM(B6:D6)/3</f>
        <v>21333.333333333332</v>
      </c>
    </row>
    <row r="7" spans="1:5" x14ac:dyDescent="0.5">
      <c r="A7" s="15" t="s">
        <v>11</v>
      </c>
      <c r="B7" s="18">
        <v>11000</v>
      </c>
      <c r="C7" s="18">
        <v>17000</v>
      </c>
      <c r="D7" s="18">
        <v>20000</v>
      </c>
      <c r="E7" s="21">
        <f>SUM(B7:D7)/3</f>
        <v>16000</v>
      </c>
    </row>
    <row r="8" spans="1:5" x14ac:dyDescent="0.5">
      <c r="A8" s="15" t="s">
        <v>12</v>
      </c>
      <c r="B8" s="18">
        <v>5500</v>
      </c>
      <c r="C8" s="18">
        <v>9000</v>
      </c>
      <c r="D8" s="18">
        <v>10000</v>
      </c>
      <c r="E8" s="21">
        <f>SUM(B8:D8)/3</f>
        <v>8166.666666666667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3600</v>
      </c>
      <c r="C11" s="18">
        <v>5900</v>
      </c>
      <c r="D11" s="18">
        <v>6700</v>
      </c>
      <c r="E11" s="21">
        <f>SUM(B11:D11)/3</f>
        <v>5400</v>
      </c>
    </row>
    <row r="12" spans="1:5" x14ac:dyDescent="0.5">
      <c r="A12" s="15" t="s">
        <v>15</v>
      </c>
      <c r="B12" s="18">
        <v>8200</v>
      </c>
      <c r="C12" s="18">
        <v>14000</v>
      </c>
      <c r="D12" s="18">
        <v>16000</v>
      </c>
      <c r="E12" s="21">
        <f>SUM(B12:D12)/3</f>
        <v>12733.333333333334</v>
      </c>
    </row>
    <row r="13" spans="1:5" x14ac:dyDescent="0.5">
      <c r="A13" s="15" t="s">
        <v>16</v>
      </c>
      <c r="B13" s="18">
        <v>6000</v>
      </c>
      <c r="C13" s="18">
        <v>9900</v>
      </c>
      <c r="D13" s="18">
        <v>12000</v>
      </c>
      <c r="E13" s="21">
        <f>SUM(B13:D13)/3</f>
        <v>9300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7000</v>
      </c>
      <c r="C16" s="18">
        <v>11000</v>
      </c>
      <c r="D16" s="18">
        <v>13000</v>
      </c>
      <c r="E16" s="21">
        <f>SUM(B16:D16)/3</f>
        <v>10333.333333333334</v>
      </c>
    </row>
    <row r="17" spans="1:6" x14ac:dyDescent="0.5">
      <c r="A17" s="15" t="s">
        <v>19</v>
      </c>
      <c r="B17" s="18">
        <v>7000</v>
      </c>
      <c r="C17" s="18">
        <v>11000</v>
      </c>
      <c r="D17" s="18">
        <v>13000</v>
      </c>
      <c r="E17" s="21">
        <f>SUM(B17:D17)/3</f>
        <v>10333.333333333334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4200</v>
      </c>
      <c r="C20" s="18">
        <v>68000</v>
      </c>
      <c r="D20" s="18">
        <v>8000</v>
      </c>
      <c r="E20" s="21">
        <f>SUM(B20:D20)/3</f>
        <v>26733.333333333332</v>
      </c>
    </row>
    <row r="21" spans="1:6" x14ac:dyDescent="0.5">
      <c r="A21" s="15" t="s">
        <v>22</v>
      </c>
      <c r="B21" s="18">
        <v>2000</v>
      </c>
      <c r="C21" s="18">
        <v>3300</v>
      </c>
      <c r="D21" s="18">
        <v>4000</v>
      </c>
      <c r="E21" s="21">
        <f>SUM(B21:D21)/3</f>
        <v>3100</v>
      </c>
    </row>
    <row r="22" spans="1:6" x14ac:dyDescent="0.5">
      <c r="A22" s="15" t="s">
        <v>23</v>
      </c>
      <c r="B22" s="18">
        <v>700</v>
      </c>
      <c r="C22" s="18">
        <v>1200</v>
      </c>
      <c r="D22" s="18">
        <v>1300</v>
      </c>
      <c r="E22" s="21">
        <f>SUM(B22:D22)/3</f>
        <v>1066.6666666666667</v>
      </c>
      <c r="F22" s="29"/>
    </row>
    <row r="23" spans="1:6" x14ac:dyDescent="0.5">
      <c r="A23" s="15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69200</v>
      </c>
      <c r="C24" s="18">
        <f>SUM(C6:C22)</f>
        <v>173300</v>
      </c>
      <c r="D24" s="18">
        <f>SUM(D6:D22)</f>
        <v>131000</v>
      </c>
      <c r="E24" s="18">
        <f t="shared" ref="E24" si="0">SUM(E6:E22)</f>
        <v>124499.99999999999</v>
      </c>
      <c r="F24" s="1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8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6" t="s">
        <v>73</v>
      </c>
      <c r="B2" s="7" t="s">
        <v>74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2800</v>
      </c>
      <c r="C6" s="18">
        <v>4600</v>
      </c>
      <c r="D6" s="18">
        <v>5300</v>
      </c>
      <c r="E6" s="21">
        <f>SUM(B6:D6)/3</f>
        <v>4233.333333333333</v>
      </c>
    </row>
    <row r="7" spans="1:5" x14ac:dyDescent="0.5">
      <c r="A7" s="15" t="s">
        <v>11</v>
      </c>
      <c r="B7" s="18">
        <v>2100</v>
      </c>
      <c r="C7" s="18">
        <v>3500</v>
      </c>
      <c r="D7" s="18">
        <v>4200</v>
      </c>
      <c r="E7" s="21">
        <f>SUM(B7:D7)/3</f>
        <v>3266.6666666666665</v>
      </c>
    </row>
    <row r="8" spans="1:5" x14ac:dyDescent="0.5">
      <c r="A8" s="15" t="s">
        <v>12</v>
      </c>
      <c r="B8" s="18">
        <v>1100</v>
      </c>
      <c r="C8" s="18">
        <v>1800</v>
      </c>
      <c r="D8" s="18">
        <v>2000</v>
      </c>
      <c r="E8" s="21">
        <f>SUM(B8:D8)/3</f>
        <v>1633.3333333333333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700</v>
      </c>
      <c r="C11" s="18">
        <v>1200</v>
      </c>
      <c r="D11" s="18">
        <v>1400</v>
      </c>
      <c r="E11" s="21">
        <f>SUM(B11:D11)/3</f>
        <v>1100</v>
      </c>
    </row>
    <row r="12" spans="1:5" x14ac:dyDescent="0.5">
      <c r="A12" s="15" t="s">
        <v>15</v>
      </c>
      <c r="B12" s="18">
        <v>1600</v>
      </c>
      <c r="C12" s="18">
        <v>2700</v>
      </c>
      <c r="D12" s="18">
        <v>3000</v>
      </c>
      <c r="E12" s="21">
        <f>SUM(B12:D12)/3</f>
        <v>2433.3333333333335</v>
      </c>
    </row>
    <row r="13" spans="1:5" x14ac:dyDescent="0.5">
      <c r="A13" s="15" t="s">
        <v>16</v>
      </c>
      <c r="B13" s="18">
        <v>1300</v>
      </c>
      <c r="C13" s="18">
        <v>2000</v>
      </c>
      <c r="D13" s="18">
        <v>2300</v>
      </c>
      <c r="E13" s="21">
        <f>SUM(B13:D13)/3</f>
        <v>1866.6666666666667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1400</v>
      </c>
      <c r="C16" s="18">
        <v>2300</v>
      </c>
      <c r="D16" s="18">
        <v>2600</v>
      </c>
      <c r="E16" s="21">
        <f>SUM(B16:D16)/3</f>
        <v>2100</v>
      </c>
    </row>
    <row r="17" spans="1:6" x14ac:dyDescent="0.5">
      <c r="A17" s="15" t="s">
        <v>19</v>
      </c>
      <c r="B17" s="18">
        <v>1400</v>
      </c>
      <c r="C17" s="18">
        <v>2200</v>
      </c>
      <c r="D17" s="18">
        <v>2600</v>
      </c>
      <c r="E17" s="21">
        <f>SUM(B17:D17)/3</f>
        <v>2066.6666666666665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800</v>
      </c>
      <c r="C20" s="18">
        <v>1300</v>
      </c>
      <c r="D20" s="18">
        <v>1500</v>
      </c>
      <c r="E20" s="21"/>
    </row>
    <row r="21" spans="1:6" x14ac:dyDescent="0.5">
      <c r="A21" s="15" t="s">
        <v>22</v>
      </c>
      <c r="B21" s="18">
        <v>400</v>
      </c>
      <c r="C21" s="18">
        <v>700</v>
      </c>
      <c r="D21" s="18">
        <v>800</v>
      </c>
      <c r="E21" s="21">
        <f>SUM(B21:D21)/3</f>
        <v>633.33333333333337</v>
      </c>
    </row>
    <row r="22" spans="1:6" x14ac:dyDescent="0.5">
      <c r="A22" s="15" t="s">
        <v>23</v>
      </c>
      <c r="B22" s="18">
        <v>100</v>
      </c>
      <c r="C22" s="18">
        <v>200</v>
      </c>
      <c r="D22" s="18">
        <v>300</v>
      </c>
      <c r="E22" s="21">
        <f>SUM(B22:D22)/3</f>
        <v>200</v>
      </c>
      <c r="F22" s="20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13700</v>
      </c>
      <c r="C24" s="18">
        <f>SUM(C6:C22)</f>
        <v>22500</v>
      </c>
      <c r="D24" s="18">
        <f>SUM(D6:D22)</f>
        <v>26000</v>
      </c>
      <c r="E24" s="18">
        <f t="shared" ref="E24" si="0">SUM(E6:E22)</f>
        <v>19533.333333333336</v>
      </c>
      <c r="F24" s="1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4"/>
  <sheetViews>
    <sheetView workbookViewId="0">
      <selection activeCell="F24" sqref="F24"/>
    </sheetView>
  </sheetViews>
  <sheetFormatPr defaultRowHeight="14.35" x14ac:dyDescent="0.5"/>
  <cols>
    <col min="1" max="1" width="39.5859375" customWidth="1"/>
    <col min="2" max="5" width="20.703125" customWidth="1"/>
    <col min="6" max="6" width="17.87890625" customWidth="1"/>
  </cols>
  <sheetData>
    <row r="1" spans="1:5" x14ac:dyDescent="0.5">
      <c r="A1" s="5" t="s">
        <v>0</v>
      </c>
      <c r="B1" s="5" t="s">
        <v>1</v>
      </c>
    </row>
    <row r="2" spans="1:5" ht="14.7" thickBot="1" x14ac:dyDescent="0.55000000000000004">
      <c r="A2" s="12" t="s">
        <v>75</v>
      </c>
      <c r="B2" s="13" t="s">
        <v>76</v>
      </c>
    </row>
    <row r="3" spans="1:5" x14ac:dyDescent="0.5">
      <c r="A3" s="8"/>
      <c r="B3" s="9"/>
    </row>
    <row r="4" spans="1:5" x14ac:dyDescent="0.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5">
      <c r="A5" s="1" t="s">
        <v>9</v>
      </c>
      <c r="B5" s="2"/>
      <c r="C5" s="2"/>
      <c r="D5" s="2"/>
      <c r="E5" s="2"/>
    </row>
    <row r="6" spans="1:5" x14ac:dyDescent="0.5">
      <c r="A6" s="15" t="s">
        <v>10</v>
      </c>
      <c r="B6" s="18">
        <v>26000</v>
      </c>
      <c r="C6" s="18">
        <v>42000</v>
      </c>
      <c r="D6" s="18">
        <v>48000</v>
      </c>
      <c r="E6" s="21">
        <f>SUM(B6:D6)/3</f>
        <v>38666.666666666664</v>
      </c>
    </row>
    <row r="7" spans="1:5" x14ac:dyDescent="0.5">
      <c r="A7" s="15" t="s">
        <v>11</v>
      </c>
      <c r="B7" s="18">
        <v>19000</v>
      </c>
      <c r="C7" s="18">
        <v>31000</v>
      </c>
      <c r="D7" s="18">
        <v>37000</v>
      </c>
      <c r="E7" s="21">
        <f>SUM(B7:D7)/3</f>
        <v>29000</v>
      </c>
    </row>
    <row r="8" spans="1:5" x14ac:dyDescent="0.5">
      <c r="A8" s="15" t="s">
        <v>12</v>
      </c>
      <c r="B8" s="18">
        <v>9800</v>
      </c>
      <c r="C8" s="18">
        <v>16000</v>
      </c>
      <c r="D8" s="18">
        <v>19000</v>
      </c>
      <c r="E8" s="21">
        <f>SUM(B8:D8)/3</f>
        <v>14933.333333333334</v>
      </c>
    </row>
    <row r="9" spans="1:5" x14ac:dyDescent="0.5">
      <c r="B9" s="2"/>
      <c r="C9" s="2"/>
      <c r="D9" s="2"/>
      <c r="E9" s="21"/>
    </row>
    <row r="10" spans="1:5" x14ac:dyDescent="0.5">
      <c r="A10" s="16" t="s">
        <v>13</v>
      </c>
      <c r="B10" s="2"/>
      <c r="C10" s="2"/>
      <c r="D10" s="2"/>
      <c r="E10" s="21"/>
    </row>
    <row r="11" spans="1:5" x14ac:dyDescent="0.5">
      <c r="A11" s="15" t="s">
        <v>14</v>
      </c>
      <c r="B11" s="18">
        <v>6600</v>
      </c>
      <c r="C11" s="18">
        <v>11000</v>
      </c>
      <c r="D11" s="18">
        <v>12000</v>
      </c>
      <c r="E11" s="21">
        <f>SUM(B11:D11)/3</f>
        <v>9866.6666666666661</v>
      </c>
    </row>
    <row r="12" spans="1:5" x14ac:dyDescent="0.5">
      <c r="A12" s="15" t="s">
        <v>15</v>
      </c>
      <c r="B12" s="18">
        <v>15000</v>
      </c>
      <c r="C12" s="18">
        <v>24000</v>
      </c>
      <c r="D12" s="18">
        <v>28000</v>
      </c>
      <c r="E12" s="21">
        <f>SUM(B12:D12)/3</f>
        <v>22333.333333333332</v>
      </c>
    </row>
    <row r="13" spans="1:5" x14ac:dyDescent="0.5">
      <c r="A13" s="15" t="s">
        <v>16</v>
      </c>
      <c r="B13" s="18">
        <v>11000</v>
      </c>
      <c r="C13" s="18">
        <v>18000</v>
      </c>
      <c r="D13" s="18">
        <v>21000</v>
      </c>
      <c r="E13" s="21">
        <f>SUM(B13:D13)/3</f>
        <v>16666.666666666668</v>
      </c>
    </row>
    <row r="14" spans="1:5" x14ac:dyDescent="0.5">
      <c r="B14" s="2"/>
      <c r="C14" s="2"/>
      <c r="D14" s="2"/>
      <c r="E14" s="21"/>
    </row>
    <row r="15" spans="1:5" x14ac:dyDescent="0.5">
      <c r="A15" s="16" t="s">
        <v>17</v>
      </c>
      <c r="B15" s="2"/>
      <c r="C15" s="2"/>
      <c r="D15" s="2"/>
      <c r="E15" s="21"/>
    </row>
    <row r="16" spans="1:5" x14ac:dyDescent="0.5">
      <c r="A16" s="15" t="s">
        <v>18</v>
      </c>
      <c r="B16" s="18">
        <v>12000</v>
      </c>
      <c r="C16" s="18">
        <v>20000</v>
      </c>
      <c r="D16" s="18">
        <v>24000</v>
      </c>
      <c r="E16" s="21">
        <f>SUM(B16:D16)/3</f>
        <v>18666.666666666668</v>
      </c>
    </row>
    <row r="17" spans="1:6" x14ac:dyDescent="0.5">
      <c r="A17" s="15" t="s">
        <v>19</v>
      </c>
      <c r="B17" s="18">
        <v>12000</v>
      </c>
      <c r="C17" s="18">
        <v>20000</v>
      </c>
      <c r="D17" s="18">
        <v>24000</v>
      </c>
      <c r="E17" s="21">
        <f>SUM(B17:D17)/3</f>
        <v>18666.666666666668</v>
      </c>
    </row>
    <row r="18" spans="1:6" x14ac:dyDescent="0.5">
      <c r="B18" s="2"/>
      <c r="C18" s="2"/>
      <c r="D18" s="2"/>
      <c r="E18" s="21"/>
    </row>
    <row r="19" spans="1:6" x14ac:dyDescent="0.5">
      <c r="A19" s="16" t="s">
        <v>20</v>
      </c>
      <c r="B19" s="2"/>
      <c r="C19" s="2"/>
      <c r="D19" s="2"/>
      <c r="E19" s="21"/>
    </row>
    <row r="20" spans="1:6" x14ac:dyDescent="0.5">
      <c r="A20" s="15" t="s">
        <v>21</v>
      </c>
      <c r="B20" s="18">
        <v>7400</v>
      </c>
      <c r="C20" s="18">
        <v>12000</v>
      </c>
      <c r="D20" s="18">
        <v>14000</v>
      </c>
      <c r="E20" s="21">
        <f>SUM(B20:D20)/3</f>
        <v>11133.333333333334</v>
      </c>
    </row>
    <row r="21" spans="1:6" x14ac:dyDescent="0.5">
      <c r="A21" s="15" t="s">
        <v>22</v>
      </c>
      <c r="B21" s="18">
        <v>3800</v>
      </c>
      <c r="C21" s="18">
        <v>6000</v>
      </c>
      <c r="D21" s="18">
        <v>7000</v>
      </c>
      <c r="E21" s="21">
        <f>SUM(B21:D21)/3</f>
        <v>5600</v>
      </c>
    </row>
    <row r="22" spans="1:6" x14ac:dyDescent="0.5">
      <c r="A22" s="15" t="s">
        <v>23</v>
      </c>
      <c r="B22" s="18">
        <v>1300</v>
      </c>
      <c r="C22" s="18">
        <v>2000</v>
      </c>
      <c r="D22" s="18">
        <v>24000</v>
      </c>
      <c r="E22" s="21">
        <f>SUM(B22:D22)/3</f>
        <v>9100</v>
      </c>
      <c r="F22" s="29"/>
    </row>
    <row r="23" spans="1:6" x14ac:dyDescent="0.5">
      <c r="A23" s="3"/>
      <c r="B23" s="18"/>
      <c r="C23" s="18"/>
      <c r="D23" s="18"/>
      <c r="E23" s="18"/>
    </row>
    <row r="24" spans="1:6" x14ac:dyDescent="0.5">
      <c r="A24" s="2" t="s">
        <v>24</v>
      </c>
      <c r="B24" s="18">
        <f>SUM(B6:B22)</f>
        <v>123900</v>
      </c>
      <c r="C24" s="18">
        <f>SUM(C6:C22)</f>
        <v>202000</v>
      </c>
      <c r="D24" s="18">
        <f>SUM(D6:D22)</f>
        <v>258000</v>
      </c>
      <c r="E24" s="18">
        <f t="shared" ref="E24" si="0">SUM(E6:E22)</f>
        <v>194633.33333333331</v>
      </c>
      <c r="F24" s="1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>
      <selection activeCell="J19" sqref="J19"/>
    </sheetView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72E7C93457040A97256824EC6D6FA" ma:contentTypeVersion="4" ma:contentTypeDescription="Create a new document." ma:contentTypeScope="" ma:versionID="41bd1431a27c925802ae5e2c96be7c80">
  <xsd:schema xmlns:xsd="http://www.w3.org/2001/XMLSchema" xmlns:xs="http://www.w3.org/2001/XMLSchema" xmlns:p="http://schemas.microsoft.com/office/2006/metadata/properties" xmlns:ns2="74afe179-8ed2-47f1-aa29-0868d7b595cc" targetNamespace="http://schemas.microsoft.com/office/2006/metadata/properties" ma:root="true" ma:fieldsID="8189e4e5036c3c229976483d1fab3558" ns2:_="">
    <xsd:import namespace="74afe179-8ed2-47f1-aa29-0868d7b59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fe179-8ed2-47f1-aa29-0868d7b59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9F3A4-2910-406D-9310-FD22ED0AF3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473A41-72DC-4BD1-92A6-2D938E89B9F0}">
  <ds:schemaRefs>
    <ds:schemaRef ds:uri="74afe179-8ed2-47f1-aa29-0868d7b595cc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3C176B9-C928-408E-A00D-B8C81E2B4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afe179-8ed2-47f1-aa29-0868d7b59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ABCT</vt:lpstr>
      <vt:lpstr>1st Inf Bn</vt:lpstr>
      <vt:lpstr>2nd Inf Bn</vt:lpstr>
      <vt:lpstr>10th AR Bn</vt:lpstr>
      <vt:lpstr>ABCT Support</vt:lpstr>
      <vt:lpstr>FA BDE</vt:lpstr>
      <vt:lpstr>FA Bn</vt:lpstr>
      <vt:lpstr>SUST BDE</vt:lpstr>
      <vt:lpstr>SUST STB</vt:lpstr>
      <vt:lpstr>SUST CSB</vt:lpstr>
      <vt:lpstr>SUST MP Bn</vt:lpstr>
      <vt:lpstr>SUST ENG Bn</vt:lpstr>
      <vt:lpstr>CAB</vt:lpstr>
      <vt:lpstr>CAB GSAB</vt:lpstr>
      <vt:lpstr>CAB Attack Bn</vt:lpstr>
      <vt:lpstr>CAB Lift Bn</vt:lpstr>
      <vt:lpstr>CAB Support Bn</vt:lpstr>
      <vt:lpstr>DIV HQ</vt:lpstr>
      <vt:lpstr>DIV STB</vt:lpstr>
      <vt:lpstr>DIV G1</vt:lpstr>
      <vt:lpstr>DIV G2</vt:lpstr>
      <vt:lpstr>DIV G3</vt:lpstr>
      <vt:lpstr>DIV G4</vt:lpstr>
      <vt:lpstr>DIV G6</vt:lpstr>
      <vt:lpstr>DIV G8</vt:lpstr>
      <vt:lpstr>DIV Special Staff</vt:lpstr>
      <vt:lpstr>Sheet1</vt:lpstr>
      <vt:lpstr>Sheet2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Cowan, Jason L CTR</dc:creator>
  <cp:keywords/>
  <dc:description/>
  <cp:lastModifiedBy>Matt Smith</cp:lastModifiedBy>
  <cp:revision/>
  <dcterms:created xsi:type="dcterms:W3CDTF">2016-07-14T18:25:37Z</dcterms:created>
  <dcterms:modified xsi:type="dcterms:W3CDTF">2020-05-28T17:31:23Z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0x010100B5A72E7C93457040A97256824EC6D6FA</vt:lpwstr>
  </property>
</Properties>
</file>